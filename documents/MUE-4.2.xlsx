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3e365-my.sharepoint.com/personal/nparent_t3e_co/Documents/"/>
    </mc:Choice>
  </mc:AlternateContent>
  <xr:revisionPtr revIDLastSave="385" documentId="8_{67A9610D-7FD5-448F-93E1-E2146518DA98}" xr6:coauthVersionLast="47" xr6:coauthVersionMax="47" xr10:uidLastSave="{BF415489-B485-4EC2-A687-28B275F02787}"/>
  <bookViews>
    <workbookView xWindow="28680" yWindow="-120" windowWidth="29040" windowHeight="16440" tabRatio="798" xr2:uid="{00000000-000D-0000-FFFF-FFFF00000000}"/>
  </bookViews>
  <sheets>
    <sheet name="1 - SOUMISSION" sheetId="1" r:id="rId1"/>
    <sheet name="2 - Échafaudages" sheetId="24" r:id="rId2"/>
    <sheet name="3- Phénolique" sheetId="26" r:id="rId3"/>
    <sheet name="4 - Détails Metal" sheetId="28" r:id="rId4"/>
  </sheets>
  <definedNames>
    <definedName name="Rendement_Zéro_Groupes" localSheetId="3">#REF!</definedName>
    <definedName name="Rendement_Zéro_Groupes">#REF!</definedName>
    <definedName name="_xlnm.Print_Area" localSheetId="0">'1 - SOUMISSION'!$A$1:$AK$218</definedName>
    <definedName name="_xlnm.Print_Area" localSheetId="3">'4 - Détails Metal'!$A$1:$L$27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87" i="1" l="1"/>
  <c r="AE168" i="1"/>
  <c r="AE169" i="1"/>
  <c r="R107" i="1"/>
  <c r="AQ55" i="1"/>
  <c r="U5" i="1"/>
  <c r="D118" i="24" l="1"/>
  <c r="D120" i="24" s="1"/>
  <c r="L9" i="28"/>
  <c r="L3" i="28"/>
  <c r="L4" i="28"/>
  <c r="L5" i="28"/>
  <c r="L6" i="28"/>
  <c r="L7" i="28"/>
  <c r="L8" i="28"/>
  <c r="L10" i="28"/>
  <c r="L11" i="28"/>
  <c r="L12" i="28"/>
  <c r="L13" i="28"/>
  <c r="L14" i="28"/>
  <c r="L15" i="28"/>
  <c r="D4" i="28"/>
  <c r="C15" i="28"/>
  <c r="C18" i="28"/>
  <c r="C17" i="28"/>
  <c r="C16" i="28"/>
  <c r="C14" i="28"/>
  <c r="C13" i="28"/>
  <c r="C4" i="28"/>
  <c r="C6" i="28"/>
  <c r="N7" i="28"/>
  <c r="N8" i="28"/>
  <c r="D9" i="28"/>
  <c r="D8" i="28"/>
  <c r="D3" i="28"/>
  <c r="C3" i="28"/>
  <c r="Y3" i="28"/>
  <c r="U3" i="28"/>
  <c r="N18" i="28"/>
  <c r="N4" i="28"/>
  <c r="N5" i="28"/>
  <c r="N6" i="28"/>
  <c r="N9" i="28"/>
  <c r="N10" i="28"/>
  <c r="N11" i="28"/>
  <c r="N12" i="28"/>
  <c r="N13" i="28"/>
  <c r="N14" i="28"/>
  <c r="N15" i="28"/>
  <c r="N16" i="28"/>
  <c r="N17" i="28"/>
  <c r="N3" i="28"/>
  <c r="O3" i="28"/>
  <c r="P3" i="28" s="1"/>
  <c r="Q3" i="28" s="1"/>
  <c r="R3" i="28" s="1"/>
  <c r="O4" i="28"/>
  <c r="P4" i="28" s="1"/>
  <c r="Q4" i="28" s="1"/>
  <c r="R4" i="28" s="1"/>
  <c r="T4" i="28" s="1"/>
  <c r="O5" i="28"/>
  <c r="O6" i="28"/>
  <c r="P6" i="28" s="1"/>
  <c r="Q6" i="28" s="1"/>
  <c r="R6" i="28" s="1"/>
  <c r="O7" i="28"/>
  <c r="P7" i="28" s="1"/>
  <c r="Q7" i="28" s="1"/>
  <c r="R7" i="28" s="1"/>
  <c r="T7" i="28" s="1"/>
  <c r="O8" i="28"/>
  <c r="P8" i="28" s="1"/>
  <c r="Q8" i="28" s="1"/>
  <c r="R8" i="28" s="1"/>
  <c r="O9" i="28"/>
  <c r="P9" i="28" s="1"/>
  <c r="Q9" i="28" s="1"/>
  <c r="R9" i="28" s="1"/>
  <c r="O10" i="28"/>
  <c r="P10" i="28" s="1"/>
  <c r="Q10" i="28" s="1"/>
  <c r="R10" i="28" s="1"/>
  <c r="O11" i="28"/>
  <c r="P11" i="28" s="1"/>
  <c r="Q11" i="28" s="1"/>
  <c r="R11" i="28" s="1"/>
  <c r="O12" i="28"/>
  <c r="P12" i="28" s="1"/>
  <c r="Q12" i="28" s="1"/>
  <c r="R12" i="28" s="1"/>
  <c r="O13" i="28"/>
  <c r="P13" i="28" s="1"/>
  <c r="Q13" i="28" s="1"/>
  <c r="R13" i="28" s="1"/>
  <c r="O14" i="28"/>
  <c r="P14" i="28" s="1"/>
  <c r="Q14" i="28" s="1"/>
  <c r="R14" i="28" s="1"/>
  <c r="O15" i="28"/>
  <c r="P15" i="28" s="1"/>
  <c r="Q15" i="28" s="1"/>
  <c r="R15" i="28" s="1"/>
  <c r="O16" i="28"/>
  <c r="P16" i="28" s="1"/>
  <c r="Q16" i="28" s="1"/>
  <c r="R16" i="28" s="1"/>
  <c r="O17" i="28"/>
  <c r="P17" i="28" s="1"/>
  <c r="Q17" i="28" s="1"/>
  <c r="R17" i="28" s="1"/>
  <c r="O18" i="28"/>
  <c r="P18" i="28" s="1"/>
  <c r="Q18" i="28" s="1"/>
  <c r="R18" i="28" s="1"/>
  <c r="O23" i="28"/>
  <c r="V3" i="28"/>
  <c r="X3" i="28"/>
  <c r="U4" i="28"/>
  <c r="V4" i="28"/>
  <c r="X4" i="28"/>
  <c r="Y4" i="28"/>
  <c r="C30" i="28"/>
  <c r="P5" i="28"/>
  <c r="Q5" i="28" s="1"/>
  <c r="R5" i="28" s="1"/>
  <c r="U6" i="28"/>
  <c r="V6" i="28"/>
  <c r="X6" i="28"/>
  <c r="Y6" i="28"/>
  <c r="U8" i="28"/>
  <c r="V8" i="28"/>
  <c r="X8" i="28"/>
  <c r="Y8" i="28"/>
  <c r="U9" i="28"/>
  <c r="V9" i="28"/>
  <c r="X9" i="28"/>
  <c r="Y9" i="28"/>
  <c r="U10" i="28"/>
  <c r="V10" i="28"/>
  <c r="X10" i="28"/>
  <c r="Y10" i="28"/>
  <c r="U11" i="28"/>
  <c r="V11" i="28"/>
  <c r="X11" i="28"/>
  <c r="Y11" i="28"/>
  <c r="U12" i="28"/>
  <c r="V12" i="28"/>
  <c r="X12" i="28"/>
  <c r="Y12" i="28"/>
  <c r="U13" i="28"/>
  <c r="V13" i="28"/>
  <c r="X13" i="28"/>
  <c r="Y13" i="28"/>
  <c r="U14" i="28"/>
  <c r="V14" i="28"/>
  <c r="X14" i="28"/>
  <c r="Y14" i="28"/>
  <c r="U15" i="28"/>
  <c r="V15" i="28"/>
  <c r="X15" i="28"/>
  <c r="Y15" i="28"/>
  <c r="U16" i="28"/>
  <c r="V16" i="28"/>
  <c r="X16" i="28"/>
  <c r="Y16" i="28"/>
  <c r="U17" i="28"/>
  <c r="V17" i="28"/>
  <c r="X17" i="28"/>
  <c r="Y17" i="28"/>
  <c r="U18" i="28"/>
  <c r="V18" i="28"/>
  <c r="X18" i="28"/>
  <c r="Y18" i="28"/>
  <c r="U22" i="28"/>
  <c r="W22" i="28" s="1"/>
  <c r="Y22" i="28"/>
  <c r="U23" i="28"/>
  <c r="Y23" i="28"/>
  <c r="U24" i="28"/>
  <c r="X24" i="28" s="1"/>
  <c r="Y24" i="28"/>
  <c r="U25" i="28"/>
  <c r="W25" i="28" s="1"/>
  <c r="Y25" i="28"/>
  <c r="H26" i="28"/>
  <c r="U26" i="28"/>
  <c r="W26" i="28" s="1"/>
  <c r="Y26" i="28"/>
  <c r="U27" i="28"/>
  <c r="W27" i="28" s="1"/>
  <c r="Y27" i="28"/>
  <c r="C28" i="28"/>
  <c r="U28" i="28"/>
  <c r="X28" i="28" s="1"/>
  <c r="Y28" i="28"/>
  <c r="U29" i="28"/>
  <c r="W29" i="28"/>
  <c r="Y29" i="28"/>
  <c r="U30" i="28"/>
  <c r="C31" i="28"/>
  <c r="C33" i="28"/>
  <c r="T34" i="28"/>
  <c r="T35" i="28" s="1"/>
  <c r="V35" i="28"/>
  <c r="M36" i="28"/>
  <c r="M38" i="28" s="1"/>
  <c r="V36" i="28"/>
  <c r="C39" i="28"/>
  <c r="D39" i="28" s="1"/>
  <c r="D40" i="28"/>
  <c r="C42" i="28"/>
  <c r="D42" i="28" s="1"/>
  <c r="D43" i="28"/>
  <c r="L114" i="1"/>
  <c r="D59" i="24"/>
  <c r="D60" i="24"/>
  <c r="E19" i="24"/>
  <c r="C3" i="24"/>
  <c r="B152" i="24" s="1"/>
  <c r="F179" i="24" s="1"/>
  <c r="H130" i="24"/>
  <c r="G129" i="24"/>
  <c r="H129" i="24" s="1"/>
  <c r="H121" i="24"/>
  <c r="H119" i="24"/>
  <c r="E107" i="24"/>
  <c r="D93" i="24"/>
  <c r="D94" i="24" s="1"/>
  <c r="D92" i="24"/>
  <c r="D91" i="24"/>
  <c r="D88" i="24"/>
  <c r="D90" i="24" s="1"/>
  <c r="D87" i="24"/>
  <c r="D86" i="24"/>
  <c r="H78" i="24"/>
  <c r="H79" i="24" s="1"/>
  <c r="D75" i="24"/>
  <c r="D72" i="24"/>
  <c r="D76" i="24" s="1"/>
  <c r="D58" i="24"/>
  <c r="D61" i="24" s="1"/>
  <c r="H51" i="24"/>
  <c r="E49" i="24"/>
  <c r="D45" i="24"/>
  <c r="D44" i="24"/>
  <c r="D43" i="24"/>
  <c r="E48" i="24" s="1"/>
  <c r="D42" i="24"/>
  <c r="D46" i="24" s="1"/>
  <c r="E34" i="24"/>
  <c r="D30" i="24"/>
  <c r="D29" i="24"/>
  <c r="D28" i="24"/>
  <c r="E33" i="24" s="1"/>
  <c r="G27" i="24"/>
  <c r="G33" i="24" s="1"/>
  <c r="D27" i="24"/>
  <c r="D31" i="24" s="1"/>
  <c r="G19" i="24"/>
  <c r="G18" i="24"/>
  <c r="G16" i="24"/>
  <c r="G15" i="24"/>
  <c r="D15" i="24"/>
  <c r="G14" i="24"/>
  <c r="D14" i="24"/>
  <c r="G13" i="24"/>
  <c r="D13" i="24"/>
  <c r="E18" i="24" s="1"/>
  <c r="G12" i="24"/>
  <c r="D12" i="24"/>
  <c r="D16" i="24" s="1"/>
  <c r="L17" i="28" l="1"/>
  <c r="L18" i="28"/>
  <c r="L16" i="28"/>
  <c r="N20" i="28"/>
  <c r="X23" i="28"/>
  <c r="W28" i="28"/>
  <c r="S12" i="28"/>
  <c r="T12" i="28"/>
  <c r="T9" i="28"/>
  <c r="S9" i="28"/>
  <c r="X29" i="28"/>
  <c r="M37" i="28"/>
  <c r="X22" i="28"/>
  <c r="X26" i="28"/>
  <c r="X25" i="28"/>
  <c r="Y5" i="28"/>
  <c r="C29" i="28"/>
  <c r="X5" i="28"/>
  <c r="V5" i="28"/>
  <c r="W24" i="28"/>
  <c r="U5" i="28"/>
  <c r="S14" i="28"/>
  <c r="T14" i="28"/>
  <c r="S16" i="28"/>
  <c r="T16" i="28"/>
  <c r="S5" i="28"/>
  <c r="T5" i="28"/>
  <c r="S4" i="28"/>
  <c r="S20" i="28" s="1"/>
  <c r="S11" i="28"/>
  <c r="T11" i="28"/>
  <c r="S3" i="28"/>
  <c r="T3" i="28"/>
  <c r="T10" i="28"/>
  <c r="S10" i="28"/>
  <c r="T17" i="28"/>
  <c r="S17" i="28"/>
  <c r="S15" i="28"/>
  <c r="T15" i="28"/>
  <c r="S8" i="28"/>
  <c r="T8" i="28"/>
  <c r="S6" i="28"/>
  <c r="T6" i="28"/>
  <c r="T13" i="28"/>
  <c r="S13" i="28"/>
  <c r="T18" i="28"/>
  <c r="S18" i="28"/>
  <c r="C32" i="28"/>
  <c r="X27" i="28"/>
  <c r="X7" i="28"/>
  <c r="W23" i="28"/>
  <c r="S7" i="28"/>
  <c r="Y7" i="28"/>
  <c r="V7" i="28"/>
  <c r="U7" i="28"/>
  <c r="D73" i="24"/>
  <c r="D111" i="24"/>
  <c r="G29" i="24"/>
  <c r="G31" i="24"/>
  <c r="G34" i="24"/>
  <c r="D74" i="24"/>
  <c r="D89" i="24"/>
  <c r="E63" i="24"/>
  <c r="F184" i="24"/>
  <c r="F185" i="24"/>
  <c r="F186" i="24"/>
  <c r="F156" i="24"/>
  <c r="F42" i="24" s="1"/>
  <c r="F188" i="24"/>
  <c r="F111" i="24" s="1"/>
  <c r="F187" i="24"/>
  <c r="F107" i="24" s="1"/>
  <c r="F183" i="24"/>
  <c r="F177" i="24"/>
  <c r="G126" i="24" s="1"/>
  <c r="H126" i="24" s="1"/>
  <c r="F176" i="24"/>
  <c r="F172" i="24"/>
  <c r="F105" i="24" s="1"/>
  <c r="F171" i="24"/>
  <c r="F106" i="24" s="1"/>
  <c r="F170" i="24"/>
  <c r="F169" i="24"/>
  <c r="F72" i="24" s="1"/>
  <c r="F168" i="24"/>
  <c r="F167" i="24"/>
  <c r="F161" i="24"/>
  <c r="F88" i="24" s="1"/>
  <c r="F182" i="24"/>
  <c r="F166" i="24"/>
  <c r="F58" i="24" s="1"/>
  <c r="F181" i="24"/>
  <c r="F165" i="24"/>
  <c r="F180" i="24"/>
  <c r="E120" i="24" s="1"/>
  <c r="H120" i="24" s="1"/>
  <c r="H139" i="24" s="1"/>
  <c r="F164" i="24"/>
  <c r="F104" i="24" s="1"/>
  <c r="E118" i="24"/>
  <c r="H118" i="24" s="1"/>
  <c r="H136" i="24" s="1"/>
  <c r="F163" i="24"/>
  <c r="F90" i="24" s="1"/>
  <c r="F178" i="24"/>
  <c r="G127" i="24" s="1"/>
  <c r="H127" i="24" s="1"/>
  <c r="F162" i="24"/>
  <c r="F89" i="24" s="1"/>
  <c r="F160" i="24"/>
  <c r="F175" i="24"/>
  <c r="F159" i="24"/>
  <c r="F44" i="24" s="1"/>
  <c r="F190" i="24"/>
  <c r="F174" i="24"/>
  <c r="F112" i="24" s="1"/>
  <c r="F158" i="24"/>
  <c r="F86" i="24" s="1"/>
  <c r="F189" i="24"/>
  <c r="F113" i="24" s="1"/>
  <c r="H113" i="24" s="1"/>
  <c r="F173" i="24"/>
  <c r="F59" i="24" s="1"/>
  <c r="F157" i="24"/>
  <c r="F63" i="24" s="1"/>
  <c r="G49" i="24"/>
  <c r="G48" i="24"/>
  <c r="G44" i="24"/>
  <c r="G43" i="24"/>
  <c r="G42" i="24"/>
  <c r="G46" i="24"/>
  <c r="G45" i="24"/>
  <c r="G30" i="24"/>
  <c r="G28" i="24"/>
  <c r="H111" i="24" l="1"/>
  <c r="E24" i="28"/>
  <c r="H24" i="28" s="1"/>
  <c r="U20" i="28"/>
  <c r="E23" i="28" s="1"/>
  <c r="H23" i="28" s="1"/>
  <c r="V20" i="28"/>
  <c r="B37" i="28"/>
  <c r="E40" i="28" s="1"/>
  <c r="F40" i="28" s="1"/>
  <c r="E21" i="28"/>
  <c r="X20" i="28"/>
  <c r="E22" i="28" s="1"/>
  <c r="H22" i="28" s="1"/>
  <c r="F96" i="24"/>
  <c r="H112" i="24"/>
  <c r="F60" i="24"/>
  <c r="F75" i="24" s="1"/>
  <c r="F110" i="24"/>
  <c r="H110" i="24" s="1"/>
  <c r="F128" i="24"/>
  <c r="G128" i="24" s="1"/>
  <c r="D128" i="24"/>
  <c r="E128" i="24" s="1"/>
  <c r="F74" i="24"/>
  <c r="F49" i="24"/>
  <c r="F33" i="24"/>
  <c r="F48" i="24"/>
  <c r="F28" i="24"/>
  <c r="F43" i="24"/>
  <c r="F30" i="24"/>
  <c r="F45" i="24"/>
  <c r="F31" i="24"/>
  <c r="F46" i="24"/>
  <c r="F14" i="24"/>
  <c r="F61" i="24" s="1"/>
  <c r="F29" i="24"/>
  <c r="F87" i="24" s="1"/>
  <c r="F34" i="24"/>
  <c r="F12" i="24"/>
  <c r="F27" i="24"/>
  <c r="F19" i="24"/>
  <c r="F18" i="24"/>
  <c r="F16" i="24"/>
  <c r="H16" i="24" s="1"/>
  <c r="F15" i="24"/>
  <c r="F92" i="24" s="1"/>
  <c r="F13" i="24"/>
  <c r="H13" i="24" s="1"/>
  <c r="G120" i="24"/>
  <c r="G118" i="24"/>
  <c r="G61" i="24"/>
  <c r="G60" i="24"/>
  <c r="G59" i="24"/>
  <c r="H59" i="24" s="1"/>
  <c r="G58" i="24"/>
  <c r="H58" i="24" s="1"/>
  <c r="E43" i="28" l="1"/>
  <c r="F43" i="28" s="1"/>
  <c r="E39" i="28"/>
  <c r="F39" i="28" s="1"/>
  <c r="E42" i="28"/>
  <c r="F42" i="28" s="1"/>
  <c r="G37" i="28"/>
  <c r="H21" i="28"/>
  <c r="L22" i="28" s="1"/>
  <c r="E25" i="28"/>
  <c r="H128" i="24"/>
  <c r="H131" i="24" s="1"/>
  <c r="F94" i="24"/>
  <c r="H43" i="24"/>
  <c r="H45" i="24"/>
  <c r="F76" i="24"/>
  <c r="F91" i="24" s="1"/>
  <c r="H15" i="24"/>
  <c r="H28" i="24"/>
  <c r="H60" i="24"/>
  <c r="H30" i="24"/>
  <c r="H18" i="24"/>
  <c r="H46" i="24"/>
  <c r="H31" i="24"/>
  <c r="H19" i="24"/>
  <c r="H42" i="24"/>
  <c r="H27" i="24"/>
  <c r="G73" i="24"/>
  <c r="G72" i="24"/>
  <c r="H72" i="24" s="1"/>
  <c r="G76" i="24"/>
  <c r="G75" i="24"/>
  <c r="H75" i="24" s="1"/>
  <c r="G63" i="24"/>
  <c r="H63" i="24" s="1"/>
  <c r="G74" i="24"/>
  <c r="H74" i="24" s="1"/>
  <c r="F73" i="24"/>
  <c r="H61" i="24"/>
  <c r="H14" i="24"/>
  <c r="H25" i="28" l="1"/>
  <c r="E35" i="28"/>
  <c r="G40" i="28"/>
  <c r="H40" i="28" s="1"/>
  <c r="I40" i="28" s="1"/>
  <c r="G42" i="28"/>
  <c r="H42" i="28" s="1"/>
  <c r="I42" i="28" s="1"/>
  <c r="M42" i="28" s="1"/>
  <c r="E37" i="28"/>
  <c r="G39" i="28"/>
  <c r="H39" i="28" s="1"/>
  <c r="I39" i="28" s="1"/>
  <c r="M39" i="28" s="1"/>
  <c r="G43" i="28"/>
  <c r="H43" i="28" s="1"/>
  <c r="I43" i="28" s="1"/>
  <c r="H145" i="24"/>
  <c r="N97" i="1" s="1"/>
  <c r="H73" i="24"/>
  <c r="H12" i="24"/>
  <c r="H21" i="24" s="1"/>
  <c r="F93" i="24"/>
  <c r="H65" i="24"/>
  <c r="H66" i="24" s="1"/>
  <c r="G94" i="24"/>
  <c r="H94" i="24" s="1"/>
  <c r="G93" i="24"/>
  <c r="G89" i="24"/>
  <c r="H89" i="24" s="1"/>
  <c r="H76" i="24"/>
  <c r="G86" i="24"/>
  <c r="H86" i="24" s="1"/>
  <c r="G90" i="24"/>
  <c r="H90" i="24" s="1"/>
  <c r="G92" i="24"/>
  <c r="H92" i="24" s="1"/>
  <c r="G88" i="24"/>
  <c r="H88" i="24" s="1"/>
  <c r="G91" i="24"/>
  <c r="H91" i="24" s="1"/>
  <c r="G87" i="24"/>
  <c r="H87" i="24" s="1"/>
  <c r="H48" i="24"/>
  <c r="H33" i="24"/>
  <c r="H49" i="24"/>
  <c r="H34" i="24"/>
  <c r="H44" i="24"/>
  <c r="H29" i="24"/>
  <c r="H36" i="24" s="1"/>
  <c r="L25" i="28" l="1"/>
  <c r="L28" i="28" s="1"/>
  <c r="H93" i="24"/>
  <c r="G96" i="24"/>
  <c r="G106" i="24" l="1"/>
  <c r="H106" i="24" s="1"/>
  <c r="G105" i="24"/>
  <c r="H105" i="24" s="1"/>
  <c r="G104" i="24"/>
  <c r="H104" i="24" s="1"/>
  <c r="H96" i="24"/>
  <c r="H98" i="24" s="1"/>
  <c r="H99" i="24" s="1"/>
  <c r="G107" i="24"/>
  <c r="H107" i="24" s="1"/>
  <c r="W204" i="1"/>
  <c r="AO114" i="1"/>
  <c r="X112" i="1"/>
  <c r="AO97" i="1"/>
  <c r="W205" i="1"/>
  <c r="AC205" i="1" s="1"/>
  <c r="W202" i="1"/>
  <c r="AC202" i="1" s="1"/>
  <c r="H142" i="24" l="1"/>
  <c r="X109" i="1"/>
  <c r="AE109" i="1" s="1"/>
  <c r="L99" i="1"/>
  <c r="H147" i="24" l="1"/>
  <c r="H148" i="24" s="1"/>
  <c r="H149" i="24" s="1"/>
  <c r="X97" i="1"/>
  <c r="T88" i="1"/>
  <c r="R98" i="1" s="1"/>
  <c r="L107" i="1"/>
  <c r="N96" i="1"/>
  <c r="AE99" i="1"/>
  <c r="L108" i="1"/>
  <c r="AE115" i="1"/>
  <c r="N112" i="1"/>
  <c r="X111" i="1"/>
  <c r="AE111" i="1" s="1"/>
  <c r="AE114" i="1"/>
  <c r="L103" i="1"/>
  <c r="L97" i="1"/>
  <c r="AE97" i="1" s="1"/>
  <c r="X95" i="1"/>
  <c r="AO95" i="1" s="1"/>
  <c r="L112" i="1"/>
  <c r="BF40" i="1"/>
  <c r="BG40" i="1"/>
  <c r="BH40" i="1" s="1"/>
  <c r="BF41" i="1"/>
  <c r="BG41" i="1"/>
  <c r="BH41" i="1" s="1"/>
  <c r="BG39" i="1"/>
  <c r="BG38" i="1"/>
  <c r="BF39" i="1"/>
  <c r="BF38" i="1"/>
  <c r="L111" i="1"/>
  <c r="P56" i="1"/>
  <c r="S56" i="1"/>
  <c r="V56" i="1"/>
  <c r="Y56" i="1"/>
  <c r="AB56" i="1"/>
  <c r="AE56" i="1"/>
  <c r="AH56" i="1"/>
  <c r="M56" i="1"/>
  <c r="L94" i="1"/>
  <c r="AO94" i="1" s="1"/>
  <c r="L98" i="1"/>
  <c r="AA44" i="1"/>
  <c r="AC198" i="1"/>
  <c r="AC195" i="1"/>
  <c r="AE178" i="1"/>
  <c r="AE177" i="1"/>
  <c r="AE176" i="1"/>
  <c r="AE175" i="1"/>
  <c r="AE174" i="1"/>
  <c r="AE173" i="1"/>
  <c r="AE172" i="1"/>
  <c r="AE171" i="1"/>
  <c r="AE170" i="1"/>
  <c r="AE167" i="1"/>
  <c r="AE166" i="1"/>
  <c r="AE165" i="1"/>
  <c r="AE163" i="1"/>
  <c r="AE162" i="1"/>
  <c r="AE161" i="1"/>
  <c r="AE160" i="1"/>
  <c r="AE158" i="1"/>
  <c r="AE157" i="1"/>
  <c r="AE156" i="1"/>
  <c r="AE153" i="1"/>
  <c r="AE152" i="1"/>
  <c r="AE150" i="1"/>
  <c r="AE149" i="1"/>
  <c r="AE148" i="1"/>
  <c r="AE147" i="1"/>
  <c r="AE146" i="1"/>
  <c r="AG138" i="1"/>
  <c r="AB138" i="1"/>
  <c r="F137" i="1" s="1"/>
  <c r="P138" i="1"/>
  <c r="AE39" i="1" s="1"/>
  <c r="F138" i="1"/>
  <c r="N85" i="1" s="1"/>
  <c r="U39" i="1" s="1"/>
  <c r="P137" i="1"/>
  <c r="AF85" i="1" s="1"/>
  <c r="AF88" i="1" s="1"/>
  <c r="AE113" i="1"/>
  <c r="AE110" i="1"/>
  <c r="X104" i="1"/>
  <c r="X103" i="1"/>
  <c r="X94" i="1"/>
  <c r="AE92" i="1"/>
  <c r="AO92" i="1" s="1"/>
  <c r="AE91" i="1"/>
  <c r="AO91" i="1" s="1"/>
  <c r="C56" i="1"/>
  <c r="AF5" i="1" s="1"/>
  <c r="O5" i="1"/>
  <c r="X105" i="1" s="1"/>
  <c r="AQ58" i="1" l="1"/>
  <c r="AQ57" i="1"/>
  <c r="AQ56" i="1"/>
  <c r="AE112" i="1"/>
  <c r="AE103" i="1"/>
  <c r="BH38" i="1"/>
  <c r="BH39" i="1"/>
  <c r="AE180" i="1"/>
  <c r="AC188" i="1" s="1"/>
  <c r="AE38" i="1"/>
  <c r="AE94" i="1"/>
  <c r="N88" i="1"/>
  <c r="AE140" i="1"/>
  <c r="AC186" i="1" s="1"/>
  <c r="AO103" i="1" l="1"/>
  <c r="AE98" i="1" l="1"/>
  <c r="T85" i="1"/>
  <c r="U40" i="1" l="1"/>
  <c r="R104" i="1"/>
  <c r="AO104" i="1" l="1"/>
  <c r="AE104" i="1"/>
  <c r="AO117" i="1"/>
  <c r="M117" i="1" s="1"/>
  <c r="Z85" i="1" s="1"/>
  <c r="Z88" i="1" s="1"/>
  <c r="R105" i="1" s="1"/>
  <c r="R108" i="1" l="1"/>
  <c r="AE108" i="1" s="1"/>
  <c r="U38" i="1"/>
  <c r="AE95" i="1"/>
  <c r="R106" i="1"/>
  <c r="AE106" i="1" s="1"/>
  <c r="AR106" i="1"/>
  <c r="R102" i="1"/>
  <c r="AE102" i="1" s="1"/>
  <c r="R93" i="1"/>
  <c r="R100" i="1"/>
  <c r="AE100" i="1" s="1"/>
  <c r="R101" i="1" l="1"/>
  <c r="AE101" i="1" s="1"/>
  <c r="AE105" i="1"/>
  <c r="C200" i="1"/>
  <c r="AP201" i="1" s="1"/>
  <c r="R96" i="1"/>
  <c r="AE96" i="1" s="1"/>
  <c r="AE93" i="1"/>
  <c r="AQ63" i="1" l="1"/>
  <c r="AQ54" i="1" s="1"/>
  <c r="AE107" i="1"/>
  <c r="AE117" i="1" s="1"/>
  <c r="AC184" i="1" l="1"/>
  <c r="AC190" i="1" s="1"/>
  <c r="AC206" i="1" s="1"/>
  <c r="AC204" i="1"/>
  <c r="AC203" i="1" l="1"/>
  <c r="AM200" i="1"/>
  <c r="AP195" i="1" s="1"/>
  <c r="AP197" i="1" s="1"/>
  <c r="W201" i="1" s="1"/>
  <c r="AC201" i="1"/>
  <c r="AP200" i="1"/>
  <c r="W200" i="1" l="1"/>
  <c r="AC200" i="1"/>
  <c r="AC208" i="1" l="1"/>
  <c r="AC209" i="1" s="1"/>
  <c r="AC211" i="1" l="1"/>
  <c r="AC215" i="1" s="1"/>
  <c r="A203" i="1" l="1"/>
  <c r="AC214" i="1"/>
  <c r="AC2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Sweezey</author>
  </authors>
  <commentList>
    <comment ref="B22" authorId="0" shapeId="0" xr:uid="{C4FA7767-55E7-47D8-B9D6-83AC066B5767}">
      <text>
        <r>
          <rPr>
            <b/>
            <sz val="9"/>
            <color indexed="81"/>
            <rFont val="Tahoma"/>
            <family val="2"/>
          </rPr>
          <t>Patrick Sweezey:</t>
        </r>
        <r>
          <rPr>
            <sz val="9"/>
            <color indexed="81"/>
            <rFont val="Tahoma"/>
            <family val="2"/>
          </rPr>
          <t xml:space="preserve">
/</t>
        </r>
      </text>
    </comment>
  </commentList>
</comments>
</file>

<file path=xl/sharedStrings.xml><?xml version="1.0" encoding="utf-8"?>
<sst xmlns="http://schemas.openxmlformats.org/spreadsheetml/2006/main" count="984" uniqueCount="680">
  <si>
    <t xml:space="preserve">Devis </t>
  </si>
  <si>
    <t xml:space="preserve">Bassin </t>
  </si>
  <si>
    <t>PONTAGE</t>
  </si>
  <si>
    <t>Hauteur</t>
  </si>
  <si>
    <t>garde corps</t>
  </si>
  <si>
    <t>TOTAL</t>
  </si>
  <si>
    <t>NOTES</t>
  </si>
  <si>
    <t>unit</t>
  </si>
  <si>
    <t>ITEM</t>
  </si>
  <si>
    <t>Quantité</t>
  </si>
  <si>
    <t>MDO</t>
  </si>
  <si>
    <t>heures</t>
  </si>
  <si>
    <t>HRS</t>
  </si>
  <si>
    <t>Description</t>
  </si>
  <si>
    <t>COUT</t>
  </si>
  <si>
    <t>1.1 - GENERALITÉES CONTROL</t>
  </si>
  <si>
    <t>Nom du projet</t>
  </si>
  <si>
    <t># SOUMISSION</t>
  </si>
  <si>
    <t>LISTES DÉROULANTES</t>
  </si>
  <si>
    <t>Adresse</t>
  </si>
  <si>
    <t>hauteur</t>
  </si>
  <si>
    <t>pontage</t>
  </si>
  <si>
    <t>Type Client</t>
  </si>
  <si>
    <t xml:space="preserve">Installation </t>
  </si>
  <si>
    <t>INSPECTEUR</t>
  </si>
  <si>
    <t>HORAIRE</t>
  </si>
  <si>
    <t xml:space="preserve">Distance Bureau - Chantier </t>
  </si>
  <si>
    <t xml:space="preserve"> --&gt; </t>
  </si>
  <si>
    <t>Pension ?</t>
  </si>
  <si>
    <t xml:space="preserve">TAUX HORAIRE </t>
  </si>
  <si>
    <t>0' - AU SOL</t>
  </si>
  <si>
    <t>privé</t>
  </si>
  <si>
    <t>non</t>
  </si>
  <si>
    <t>Horaire standard</t>
  </si>
  <si>
    <t>HAUTEUR TRAVAUX (GRUE)</t>
  </si>
  <si>
    <t>SUP. TOTALE</t>
  </si>
  <si>
    <t>privé avec consultant -</t>
  </si>
  <si>
    <t>Moyenne - Restreinte</t>
  </si>
  <si>
    <t>oui - partiel payé par client</t>
  </si>
  <si>
    <t>Déplacement d'horaire</t>
  </si>
  <si>
    <t>privé avec consultant +</t>
  </si>
  <si>
    <t>Difficile - Contraintes importantes</t>
  </si>
  <si>
    <t>oui - partiel payé par T3E</t>
  </si>
  <si>
    <t>2h</t>
  </si>
  <si>
    <t xml:space="preserve">Travaux de soir </t>
  </si>
  <si>
    <t>TYPE CLIENT</t>
  </si>
  <si>
    <t>INTERVENANTS</t>
  </si>
  <si>
    <t>Propriétaire</t>
  </si>
  <si>
    <t>public - modéré</t>
  </si>
  <si>
    <t>oui temps plein payé par client</t>
  </si>
  <si>
    <t>3h</t>
  </si>
  <si>
    <t>Travaux de nuit</t>
  </si>
  <si>
    <t>béton léger - Siporex</t>
  </si>
  <si>
    <t>public - exigent</t>
  </si>
  <si>
    <t>Extrême - Centre Ville</t>
  </si>
  <si>
    <t>oui temps plein payé par T3E</t>
  </si>
  <si>
    <t>4h</t>
  </si>
  <si>
    <t>Temps double</t>
  </si>
  <si>
    <t>TYPE D'INSTALLATION</t>
  </si>
  <si>
    <t>Entrepreneur</t>
  </si>
  <si>
    <t xml:space="preserve"> + DE 180'</t>
  </si>
  <si>
    <t>autre</t>
  </si>
  <si>
    <t>ACCES</t>
  </si>
  <si>
    <t>multiple</t>
  </si>
  <si>
    <t>Blacklist</t>
  </si>
  <si>
    <t xml:space="preserve">TYPE DE SYSTÈME </t>
  </si>
  <si>
    <t>Architecte</t>
  </si>
  <si>
    <t>TYPE DE TRAVAUX</t>
  </si>
  <si>
    <t>Ingénieurs</t>
  </si>
  <si>
    <t xml:space="preserve">FOURNISSEUR </t>
  </si>
  <si>
    <t>Type de Système</t>
  </si>
  <si>
    <t>Type de toiture</t>
  </si>
  <si>
    <t>Type de travaux</t>
  </si>
  <si>
    <t>Accès</t>
  </si>
  <si>
    <t>FIREWATCH</t>
  </si>
  <si>
    <t>Consultants</t>
  </si>
  <si>
    <t>GARANTIES</t>
  </si>
  <si>
    <t>Multicouche (A&amp;G)</t>
  </si>
  <si>
    <t>Pleumage</t>
  </si>
  <si>
    <t>Soprema</t>
  </si>
  <si>
    <t>Elastomère</t>
  </si>
  <si>
    <t>Resurfacage</t>
  </si>
  <si>
    <t>Garland</t>
  </si>
  <si>
    <t>AMCQ 5+5 (10 ans)</t>
  </si>
  <si>
    <t>EPDM</t>
  </si>
  <si>
    <t>Réfection complète</t>
  </si>
  <si>
    <t>Protan</t>
  </si>
  <si>
    <t>Matériaux (10 ans)</t>
  </si>
  <si>
    <t>PÉNALITÉ DE RETARD</t>
  </si>
  <si>
    <t>Date fermeture</t>
  </si>
  <si>
    <t>valitidé</t>
  </si>
  <si>
    <t>PVC/TPO</t>
  </si>
  <si>
    <t>Construction neuve</t>
  </si>
  <si>
    <t>tour d'échafauds</t>
  </si>
  <si>
    <t>Sika</t>
  </si>
  <si>
    <t>Système total (10 ans)</t>
  </si>
  <si>
    <t>Monolythique (Hydrotech)</t>
  </si>
  <si>
    <t>Resaturant</t>
  </si>
  <si>
    <t>Carlisle</t>
  </si>
  <si>
    <t>Système total (15 ans)</t>
  </si>
  <si>
    <t>VALEUR</t>
  </si>
  <si>
    <t>NON</t>
  </si>
  <si>
    <t>Bardeau</t>
  </si>
  <si>
    <t>Firestone</t>
  </si>
  <si>
    <t>Système total (20 ans)</t>
  </si>
  <si>
    <t>OUI</t>
  </si>
  <si>
    <t>Ancestral - Métallique</t>
  </si>
  <si>
    <t>Fransyl</t>
  </si>
  <si>
    <t>Système total (25 ans)</t>
  </si>
  <si>
    <t xml:space="preserve">A - Conditions Générales </t>
  </si>
  <si>
    <t>Enduits</t>
  </si>
  <si>
    <t>Iko</t>
  </si>
  <si>
    <t>Système total (+ de 25 ans)</t>
  </si>
  <si>
    <t xml:space="preserve">Durée prévue </t>
  </si>
  <si>
    <t>Grue</t>
  </si>
  <si>
    <t>couvreur</t>
  </si>
  <si>
    <t>ferblantier</t>
  </si>
  <si>
    <t xml:space="preserve">format control </t>
  </si>
  <si>
    <t>CTRL</t>
  </si>
  <si>
    <t>COUT UNITAIRE</t>
  </si>
  <si>
    <t xml:space="preserve">Mobilisation </t>
  </si>
  <si>
    <t xml:space="preserve"> ENTRER NOMBRE DE JOUR DE MOBILISATION A PRÉVOIR --&gt; PEUT ETRE PRÉVOIR UNE FORMULE POUR "DURÉE" --&gt; VÉRIFIER LE COUT UNITAIRE DE JOURNÉE DE MOBILISATION ** EXCLUS GARDE CORPS ET GRUE SEULEMENT MDO SUPPLÉMENTAIRE (RÉCEPTION LIVRAISON, SETUP INITIAL)</t>
  </si>
  <si>
    <t>Démobilisation - Netoyage</t>
  </si>
  <si>
    <t xml:space="preserve"> ENTRER NOMBRE DE JOUR DE DÉMOBILISATION A PRÉVOIR --&gt; PEUT ETRE PRÉVOIR UNE FORMULE POUR "DURÉE" --&gt; VÉRIFIER LE COUT UNITAIRE DE JOURNÉE DE MOBILISATION ** EXCLUS GARDE CORPS ET GRUE SEULEMENT MDO SUPPLÉMENTAIRE (RÉCEPTION LIVRAISON, SETUP INITIAL)</t>
  </si>
  <si>
    <t>TOUR D'ESCALIER</t>
  </si>
  <si>
    <t>TEMPS AILLEURS - CALCUL SUR FEUILLE SUPPLÉMENTAIRE</t>
  </si>
  <si>
    <t>PROTECTION INTÉRIEURE / EXTÉRIEURE</t>
  </si>
  <si>
    <t>TEMPS A ENTRER DANS DURÉE (EN HEURES) CALCUL SUR FEUILLE SUPPLÉMENTAIRE</t>
  </si>
  <si>
    <t>Toilettes</t>
  </si>
  <si>
    <t xml:space="preserve"> </t>
  </si>
  <si>
    <t>LOCATION DEQUIPEMENT</t>
  </si>
  <si>
    <t>Échafauds + Installations temporaire</t>
  </si>
  <si>
    <t>FRAIS SEULEMENT NO MDO</t>
  </si>
  <si>
    <t>permis construction</t>
  </si>
  <si>
    <t>GESTION PROJET (SURINTENDANT)</t>
  </si>
  <si>
    <t>FIXE</t>
  </si>
  <si>
    <t xml:space="preserve"> = 150 000$ /45semaines / 5 jours / 3 projets par surintendant * nombre de jours : COUT UNITAIRE SANS RAPPORT AU TEMPS </t>
  </si>
  <si>
    <t>Primes fixes estimées CM et Bras droit</t>
  </si>
  <si>
    <t>recherche dans database ==&gt;</t>
  </si>
  <si>
    <t>FIRE WATCH / ASSURANCES</t>
  </si>
  <si>
    <t>CIRCULAR REF PROBLEM MDO</t>
  </si>
  <si>
    <t>TRAVELING CHAUFFEUR + GRUE</t>
  </si>
  <si>
    <t>Frais d'inspection:</t>
  </si>
  <si>
    <t>Pénalité de retard:</t>
  </si>
  <si>
    <t>Prix Global FOURNISSEUR</t>
  </si>
  <si>
    <t xml:space="preserve"> --&gt; INSTALL AUTRE (+ de 180')</t>
  </si>
  <si>
    <t>A - CONDITIONS GÉNÉRALES - TOTAL</t>
  </si>
  <si>
    <t>NOM DU SOUS-TRAITANT</t>
  </si>
  <si>
    <t>PRIX RETENU</t>
  </si>
  <si>
    <t>Division 02 - CONDITIONS EXISTANTE</t>
  </si>
  <si>
    <t>c</t>
  </si>
  <si>
    <t>PROTECTION INTÉRIEURE - TOILES</t>
  </si>
  <si>
    <t>PAYSAGEMENT</t>
  </si>
  <si>
    <t>DÉCONTAMINATION / DÉMOLITION</t>
  </si>
  <si>
    <t>Division 03 - BÉTON : COULÉE/RÉPARATION</t>
  </si>
  <si>
    <t xml:space="preserve">Division 04 - MACONNERIE </t>
  </si>
  <si>
    <t>Division 05 - MÉTAUX</t>
  </si>
  <si>
    <t>STRUCTURE</t>
  </si>
  <si>
    <t>MÉTAUX OUVRÉS</t>
  </si>
  <si>
    <t>Division 06 - MENUISERIE</t>
  </si>
  <si>
    <t>Division 07 - ISOLATION ET ÉTANCHÉITÉ</t>
  </si>
  <si>
    <t>BARDEAUX</t>
  </si>
  <si>
    <t>ISOLATION GICLÉE</t>
  </si>
  <si>
    <t>ISOLATION</t>
  </si>
  <si>
    <t>Division 08 - Openings</t>
  </si>
  <si>
    <t>SOUS-TRAITANT LANTERNEAUX</t>
  </si>
  <si>
    <t>PORTES ET FENÊTRES</t>
  </si>
  <si>
    <t>REV METALLIQUE - FERBLANTERIE</t>
  </si>
  <si>
    <t>GOUTTIERE</t>
  </si>
  <si>
    <t>Division 09 - Finishes</t>
  </si>
  <si>
    <t xml:space="preserve">SOUS-TRAITANT </t>
  </si>
  <si>
    <t>PEINTURE</t>
  </si>
  <si>
    <t>Division 21 - IGNIFUGATION</t>
  </si>
  <si>
    <t>Division 22 - PLOMBERIE</t>
  </si>
  <si>
    <t>Division 23 - HVAC</t>
  </si>
  <si>
    <t>GAZ</t>
  </si>
  <si>
    <t>REFRIGERATION</t>
  </si>
  <si>
    <t>MECHANIQUE</t>
  </si>
  <si>
    <t>VENTILATION</t>
  </si>
  <si>
    <t>Division 25 - AUTOMATISATION INTÉGRÉE</t>
  </si>
  <si>
    <t>Division 26 - ELECTRICITÉ</t>
  </si>
  <si>
    <t>AUTRE --&gt; SPÉCIFIER</t>
  </si>
  <si>
    <t>E - SOUS-TRAITANCE</t>
  </si>
  <si>
    <r>
      <t xml:space="preserve">TOTAL de la section </t>
    </r>
    <r>
      <rPr>
        <b/>
        <sz val="11"/>
        <color rgb="FFFF0000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- CONDITIONS GÉNÉRALES</t>
    </r>
  </si>
  <si>
    <t>Assurance chantier</t>
  </si>
  <si>
    <t>Assurance resp civile / Wrap up</t>
  </si>
  <si>
    <t>admin</t>
  </si>
  <si>
    <t>profit</t>
  </si>
  <si>
    <t>Signatures</t>
  </si>
  <si>
    <t>Grand total</t>
  </si>
  <si>
    <t>TPS</t>
  </si>
  <si>
    <t>estimateur</t>
  </si>
  <si>
    <t>TVQ</t>
  </si>
  <si>
    <t>vérification</t>
  </si>
  <si>
    <t>HEURES</t>
  </si>
  <si>
    <t>Acessoires</t>
  </si>
  <si>
    <t>pi.ca</t>
  </si>
  <si>
    <t>Ancrages</t>
  </si>
  <si>
    <t>pi.ca.</t>
  </si>
  <si>
    <t>Unité</t>
  </si>
  <si>
    <t>Résumé de Soumission - MUE 4.0</t>
  </si>
  <si>
    <t>retirer</t>
  </si>
  <si>
    <t xml:space="preserve">PENSION et Transport </t>
  </si>
  <si>
    <t>Heure</t>
  </si>
  <si>
    <t>PAR</t>
  </si>
  <si>
    <t>Visite / 
takeoff</t>
  </si>
  <si>
    <t>DEPOT</t>
  </si>
  <si>
    <t>Compo</t>
  </si>
  <si>
    <t>Hauteur (pi)</t>
  </si>
  <si>
    <t>Superficie
(Pi² )</t>
  </si>
  <si>
    <t>Valid</t>
  </si>
  <si>
    <t xml:space="preserve">2 - Résumé Takeoff et Compositions </t>
  </si>
  <si>
    <t xml:space="preserve">Existant </t>
  </si>
  <si>
    <t>Appentis</t>
  </si>
  <si>
    <t>1 - Information générales (1 de 2)</t>
  </si>
  <si>
    <t>1 - Information générales (2 de 2)</t>
  </si>
  <si>
    <t>INFOS SOUMISSION</t>
  </si>
  <si>
    <t>Valeur penalité</t>
  </si>
  <si>
    <t>TYPE DE TOITURE (Membrane)</t>
  </si>
  <si>
    <t xml:space="preserve">INFORMATIONS COMPLÉMENTAIRES </t>
  </si>
  <si>
    <t>QT. bassins</t>
  </si>
  <si>
    <t>Dates d'exécution projet</t>
  </si>
  <si>
    <t>Plans</t>
  </si>
  <si>
    <t>Addendas</t>
  </si>
  <si>
    <t>ARCH</t>
  </si>
  <si>
    <t>MEC(V)</t>
  </si>
  <si>
    <t>ELEC</t>
  </si>
  <si>
    <t>STRUC</t>
  </si>
  <si>
    <t>PLOMB</t>
  </si>
  <si>
    <t>A</t>
  </si>
  <si>
    <t>TAKEOFF</t>
  </si>
  <si>
    <t>Demandé par</t>
  </si>
  <si>
    <t>Formations</t>
  </si>
  <si>
    <t xml:space="preserve">Total Up </t>
  </si>
  <si>
    <t>DURÉE / UNIT</t>
  </si>
  <si>
    <t>Remise en état des lieux (terassement)</t>
  </si>
  <si>
    <t>B - Travaux Par T3E</t>
  </si>
  <si>
    <t>B - Travaux par T3E - TOTAL</t>
  </si>
  <si>
    <t>GRUE</t>
  </si>
  <si>
    <t>NACELLES</t>
  </si>
  <si>
    <t>C - Sous-traitance</t>
  </si>
  <si>
    <t>VOIR GEXTIM POUR DÉTAILS</t>
  </si>
  <si>
    <t>HRS (CG)</t>
  </si>
  <si>
    <r>
      <t xml:space="preserve">TOTAL de la section </t>
    </r>
    <r>
      <rPr>
        <b/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- Travaux T3e ( Demo, construction, détails et ferblanterie)</t>
    </r>
  </si>
  <si>
    <t>SOUS-TOTAL (SECTION A - C)</t>
  </si>
  <si>
    <t xml:space="preserve">Total / Prix retenu </t>
  </si>
  <si>
    <t>MATÉRIEL</t>
  </si>
  <si>
    <t>Demolition</t>
  </si>
  <si>
    <t>Construction</t>
  </si>
  <si>
    <t>Détails</t>
  </si>
  <si>
    <t>Ferblanterie Atelier</t>
  </si>
  <si>
    <t>Ferblanterie Chantier</t>
  </si>
  <si>
    <t>Autres / MISC</t>
  </si>
  <si>
    <t>Menuiserie</t>
  </si>
  <si>
    <t>COUV</t>
  </si>
  <si>
    <t>MEU</t>
  </si>
  <si>
    <t>FERB</t>
  </si>
  <si>
    <t>Ferb Atelier</t>
  </si>
  <si>
    <t>Publique - Gré a Gré</t>
  </si>
  <si>
    <t>Ent Général  (BSDQ)</t>
  </si>
  <si>
    <t>Ent Général  (Privé)</t>
  </si>
  <si>
    <t>Type Batiment</t>
  </si>
  <si>
    <t>Syst a démolir</t>
  </si>
  <si>
    <t>Cautionnment soum.</t>
  </si>
  <si>
    <t xml:space="preserve">Commercial </t>
  </si>
  <si>
    <t>High Rise</t>
  </si>
  <si>
    <t xml:space="preserve">Industriel </t>
  </si>
  <si>
    <t xml:space="preserve"> - DE 30' </t>
  </si>
  <si>
    <t xml:space="preserve">30' @ 40' </t>
  </si>
  <si>
    <t xml:space="preserve">50' @ 60' </t>
  </si>
  <si>
    <t>120' @ 180'</t>
  </si>
  <si>
    <t>90' @ 120'</t>
  </si>
  <si>
    <t>75' @ 90'</t>
  </si>
  <si>
    <t xml:space="preserve">60' @ 75' </t>
  </si>
  <si>
    <t>Trappe d'accès</t>
  </si>
  <si>
    <t>échelle au mur</t>
  </si>
  <si>
    <t>échelle ammener</t>
  </si>
  <si>
    <t>marches / ascenceur</t>
  </si>
  <si>
    <t>Residentiel - Unifamilial</t>
  </si>
  <si>
    <t>Résidentiel - Multiplex</t>
  </si>
  <si>
    <t>Résidentiel - Condos</t>
  </si>
  <si>
    <t>Résidentiel - Tour d'habitation</t>
  </si>
  <si>
    <t>Institutionnel</t>
  </si>
  <si>
    <t xml:space="preserve">Béton </t>
  </si>
  <si>
    <t xml:space="preserve">Bois </t>
  </si>
  <si>
    <t>Milldeck</t>
  </si>
  <si>
    <t>Acier</t>
  </si>
  <si>
    <t>Sécurisation</t>
  </si>
  <si>
    <t>Ballasté</t>
  </si>
  <si>
    <t>Adhésif - Colle</t>
  </si>
  <si>
    <t>Adhésif - Asphalte</t>
  </si>
  <si>
    <t>Fix Mécanique</t>
  </si>
  <si>
    <t>MIX - Mécanique et colle</t>
  </si>
  <si>
    <t>forte pente</t>
  </si>
  <si>
    <t>Ventilé (faible pente)</t>
  </si>
  <si>
    <t>Inversé (faible pente)</t>
  </si>
  <si>
    <t>Conventionnel (faible pente)</t>
  </si>
  <si>
    <t>Patrimonial (forte pente)</t>
  </si>
  <si>
    <t xml:space="preserve">Ornemental </t>
  </si>
  <si>
    <t>Réparations</t>
  </si>
  <si>
    <t>Système a froid</t>
  </si>
  <si>
    <t>T3E seulement (5ans)</t>
  </si>
  <si>
    <t>Sur voie publique - Facile</t>
  </si>
  <si>
    <t>Sur voie publique - Difficile</t>
  </si>
  <si>
    <t>Facile - Standard - Terrain Privé</t>
  </si>
  <si>
    <t>SÉCURISATION MATÉRIAUX</t>
  </si>
  <si>
    <t>SYST. A DÉMOLIR</t>
  </si>
  <si>
    <t>RESTRICTION HORAIRE ?</t>
  </si>
  <si>
    <t>PÉNALITÉS DE RETARD</t>
  </si>
  <si>
    <t xml:space="preserve">CAUTIONNEMENT SOUMISS. </t>
  </si>
  <si>
    <t>INFORMATIONS CRITIQUE PROJET</t>
  </si>
  <si>
    <t>SIGNATURE</t>
  </si>
  <si>
    <r>
      <t xml:space="preserve">Approbation </t>
    </r>
    <r>
      <rPr>
        <sz val="10"/>
        <color theme="1"/>
        <rFont val="Calibri"/>
        <family val="2"/>
        <scheme val="minor"/>
      </rPr>
      <t>(publique)</t>
    </r>
  </si>
  <si>
    <t>OCC DU DOMAINE PUBLIQUE</t>
  </si>
  <si>
    <t>ACCREDITATION</t>
  </si>
  <si>
    <t>CAUTIONNEMENT MDO/EXEC</t>
  </si>
  <si>
    <t>FORMATIONS</t>
  </si>
  <si>
    <t>PROTECTION INTÉRIEURE</t>
  </si>
  <si>
    <t>ECHAFAUDAGES</t>
  </si>
  <si>
    <t>NACELLE</t>
  </si>
  <si>
    <t>Menuisier</t>
  </si>
  <si>
    <t>COUTS FINAUX - Contrat</t>
  </si>
  <si>
    <t xml:space="preserve">Type </t>
  </si>
  <si>
    <t xml:space="preserve">Prix negocié avant taxes </t>
  </si>
  <si>
    <t>OCC. DOMAINE PUBLIQUE</t>
  </si>
  <si>
    <t>ACCRÉDITATIONS</t>
  </si>
  <si>
    <t>ASSURANCES CHANTIER</t>
  </si>
  <si>
    <t xml:space="preserve">CAUTIONNEMENT </t>
  </si>
  <si>
    <t>5h</t>
  </si>
  <si>
    <t>6h</t>
  </si>
  <si>
    <t>8h</t>
  </si>
  <si>
    <t>7h</t>
  </si>
  <si>
    <t>oui - Resp. Client</t>
  </si>
  <si>
    <t>oui - Resp T3e</t>
  </si>
  <si>
    <t xml:space="preserve">oui </t>
  </si>
  <si>
    <t>ASS. CHANTIER</t>
  </si>
  <si>
    <t>ASS RESP CIVILE</t>
  </si>
  <si>
    <t>STATIONNEMENT (centre-ville)</t>
  </si>
  <si>
    <t>date d'octroi</t>
  </si>
  <si>
    <t xml:space="preserve">T-02 </t>
  </si>
  <si>
    <t>T-03</t>
  </si>
  <si>
    <t>T-04</t>
  </si>
  <si>
    <t>T-01</t>
  </si>
  <si>
    <t>DOCUMENTS DU PROJET pour Soumission</t>
  </si>
  <si>
    <t>Atelier</t>
  </si>
  <si>
    <t>AJOUTS</t>
  </si>
  <si>
    <t>oui</t>
  </si>
  <si>
    <t xml:space="preserve">avec taxes </t>
  </si>
  <si>
    <t>soumission signée</t>
  </si>
  <si>
    <t>ccdc</t>
  </si>
  <si>
    <t>acc01</t>
  </si>
  <si>
    <t xml:space="preserve">PO </t>
  </si>
  <si>
    <t>Contrat Maison Client</t>
  </si>
  <si>
    <t>non (pas spécifiquement demandée)</t>
  </si>
  <si>
    <t xml:space="preserve">OUI STD (contrat - de 1M) </t>
  </si>
  <si>
    <t>Oui plus de 1M$</t>
  </si>
  <si>
    <t>oui mais non inclus sousmision</t>
  </si>
  <si>
    <t>oui - escalier d'accès</t>
  </si>
  <si>
    <t>oui - système complet</t>
  </si>
  <si>
    <t>PERMIS CONSTRUCTION</t>
  </si>
  <si>
    <t>COUTS GRUE</t>
  </si>
  <si>
    <t>COUTS NACELLES</t>
  </si>
  <si>
    <t>GARANTIE</t>
  </si>
  <si>
    <t>FOURNISSEUR</t>
  </si>
  <si>
    <t>25 @ 30 TONNES</t>
  </si>
  <si>
    <t>40 TONNES</t>
  </si>
  <si>
    <t>45 TONNES</t>
  </si>
  <si>
    <t>50 TONNES</t>
  </si>
  <si>
    <t>GROOVE 475 E</t>
  </si>
  <si>
    <t>TADANO 80 T</t>
  </si>
  <si>
    <t>TADANO 120 T</t>
  </si>
  <si>
    <t>250 TONNES</t>
  </si>
  <si>
    <t xml:space="preserve">SPYDER </t>
  </si>
  <si>
    <t>COUTS FIXE GRUE</t>
  </si>
  <si>
    <t>SKYJACK</t>
  </si>
  <si>
    <t>CISO</t>
  </si>
  <si>
    <t xml:space="preserve">PAUS PKT </t>
  </si>
  <si>
    <t xml:space="preserve">GENIE 125' </t>
  </si>
  <si>
    <t>JLG 450 AJ 45'</t>
  </si>
  <si>
    <t>JLGT 500 J TRAILER 50'</t>
  </si>
  <si>
    <t>JLG 600 S 60'</t>
  </si>
  <si>
    <t>JLG 850 S 85'</t>
  </si>
  <si>
    <t>JLG 1350 SPJ 135'</t>
  </si>
  <si>
    <t xml:space="preserve">SLG G12-55A   55' </t>
  </si>
  <si>
    <t>NOTE</t>
  </si>
  <si>
    <t>GARDE CORPS - SÉCURITÉ</t>
  </si>
  <si>
    <t>PI. LIN.</t>
  </si>
  <si>
    <t xml:space="preserve">VOIR ST </t>
  </si>
  <si>
    <t xml:space="preserve">3 - Soumission </t>
  </si>
  <si>
    <t>D - Frais Fixes et Totaux</t>
  </si>
  <si>
    <t>JOURS --&gt;</t>
  </si>
  <si>
    <t>PARTICIP / TEMPS</t>
  </si>
  <si>
    <t>GRUE - FIXE  + TRANSPORT ACESSOIRES</t>
  </si>
  <si>
    <t>NACELLE + TRANSPORT</t>
  </si>
  <si>
    <t>ESTIMATION POUR ASS CHANTIER</t>
  </si>
  <si>
    <t>Permis occupation + SIGNAL</t>
  </si>
  <si>
    <t>CARBURANT (spécifier # véh eq princip.)</t>
  </si>
  <si>
    <t>Donné en Sous-traitance 98 % des cas</t>
  </si>
  <si>
    <r>
      <t xml:space="preserve">TOTAL de la section </t>
    </r>
    <r>
      <rPr>
        <b/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- SOUSTRAITANCE</t>
    </r>
  </si>
  <si>
    <t>Cautionnement Soumission</t>
  </si>
  <si>
    <t>RESP CIVILE --&gt; WRAPUP 5M$</t>
  </si>
  <si>
    <t>SI PLUS DE 12 mois après travaux</t>
  </si>
  <si>
    <t>Assurance pollution    1M$    2M$</t>
  </si>
  <si>
    <t>Cautionnement 50/50</t>
  </si>
  <si>
    <t>Autre Spécifiez</t>
  </si>
  <si>
    <t xml:space="preserve">Cautonnement Entretiens        </t>
  </si>
  <si>
    <t xml:space="preserve">Projet </t>
  </si>
  <si>
    <t>Date</t>
  </si>
  <si>
    <t xml:space="preserve">Location sur </t>
  </si>
  <si>
    <t>jours</t>
  </si>
  <si>
    <t>Horizon de rentabilité</t>
  </si>
  <si>
    <t>Échafaudage de base</t>
  </si>
  <si>
    <t xml:space="preserve">Longueur au sol </t>
  </si>
  <si>
    <t>pi.li.</t>
  </si>
  <si>
    <t xml:space="preserve">SECTION 01 </t>
  </si>
  <si>
    <t>Prix unit</t>
  </si>
  <si>
    <t>Durée</t>
  </si>
  <si>
    <t>Cadre 5x5</t>
  </si>
  <si>
    <t>Jacks</t>
  </si>
  <si>
    <t>Xbraces</t>
  </si>
  <si>
    <t>bananes</t>
  </si>
  <si>
    <t>Oui = 1</t>
  </si>
  <si>
    <t>Quté</t>
  </si>
  <si>
    <t>Pietonnier au sol?</t>
  </si>
  <si>
    <t>Protection sur sol?</t>
  </si>
  <si>
    <t>SECTION 02</t>
  </si>
  <si>
    <t>SECTION 03</t>
  </si>
  <si>
    <t xml:space="preserve">Planchers </t>
  </si>
  <si>
    <t>Nombre de planchers</t>
  </si>
  <si>
    <t xml:space="preserve">Longueur </t>
  </si>
  <si>
    <t>Garde corps</t>
  </si>
  <si>
    <t>Madriers</t>
  </si>
  <si>
    <t>Plywood</t>
  </si>
  <si>
    <t>brace</t>
  </si>
  <si>
    <t>Étages supérieurs?</t>
  </si>
  <si>
    <t>Total par plancher</t>
  </si>
  <si>
    <t>Passage pietonnier</t>
  </si>
  <si>
    <t>Longueur au sol</t>
  </si>
  <si>
    <t>pi</t>
  </si>
  <si>
    <t xml:space="preserve">Arche </t>
  </si>
  <si>
    <t>Xbrace</t>
  </si>
  <si>
    <t>Madrier</t>
  </si>
  <si>
    <t>JACKs</t>
  </si>
  <si>
    <t xml:space="preserve">Total par passage </t>
  </si>
  <si>
    <t>Tour D'escalier</t>
  </si>
  <si>
    <t>Cadre de départ</t>
  </si>
  <si>
    <t>Escalier</t>
  </si>
  <si>
    <t>Rampe INT</t>
  </si>
  <si>
    <t>Rampe EXT</t>
  </si>
  <si>
    <t>Vérin</t>
  </si>
  <si>
    <t>Cadres</t>
  </si>
  <si>
    <t>Banane</t>
  </si>
  <si>
    <t>oui = 1</t>
  </si>
  <si>
    <t>Protection au sol</t>
  </si>
  <si>
    <t>TOTAL UNIT</t>
  </si>
  <si>
    <t>Item</t>
  </si>
  <si>
    <t>Longueur</t>
  </si>
  <si>
    <t>Total</t>
  </si>
  <si>
    <t>Poutre Aluma</t>
  </si>
  <si>
    <t>Clams</t>
  </si>
  <si>
    <t>Tuyau d'aluminium</t>
  </si>
  <si>
    <t>Cloture Omega</t>
  </si>
  <si>
    <t>Ancrages + Caulcking</t>
  </si>
  <si>
    <t>Fillets</t>
  </si>
  <si>
    <t>Broche</t>
  </si>
  <si>
    <t>Main d'œuvre</t>
  </si>
  <si>
    <t>quté</t>
  </si>
  <si>
    <t>$/pi.ca</t>
  </si>
  <si>
    <t>Tarif</t>
  </si>
  <si>
    <t>Heures</t>
  </si>
  <si>
    <t>Installation</t>
  </si>
  <si>
    <t>Boom</t>
  </si>
  <si>
    <t>Déinstallation</t>
  </si>
  <si>
    <t>BOOM</t>
  </si>
  <si>
    <t>Autres Frais</t>
  </si>
  <si>
    <t>oui =1</t>
  </si>
  <si>
    <t>QUTÉ</t>
  </si>
  <si>
    <t>Cout unit.</t>
  </si>
  <si>
    <t>Attestation ING</t>
  </si>
  <si>
    <t>PLANS Scellés</t>
  </si>
  <si>
    <t>Livraisons</t>
  </si>
  <si>
    <t>Mobilisation</t>
  </si>
  <si>
    <t>Occ. Dom. Public</t>
  </si>
  <si>
    <t>Main D'œuvre (incluant grue)</t>
  </si>
  <si>
    <t>Main d'œuvre (incluant grue)</t>
  </si>
  <si>
    <t xml:space="preserve"> +</t>
  </si>
  <si>
    <t xml:space="preserve">Location </t>
  </si>
  <si>
    <t xml:space="preserve">Durée </t>
  </si>
  <si>
    <t>jours     +</t>
  </si>
  <si>
    <t>mois            +</t>
  </si>
  <si>
    <t>Frais Autres - Frais fixes</t>
  </si>
  <si>
    <t>Matériaux, permis …</t>
  </si>
  <si>
    <t xml:space="preserve">% de réduction </t>
  </si>
  <si>
    <t>Montant final</t>
  </si>
  <si>
    <t>Inflation anuelle</t>
  </si>
  <si>
    <t>PRIX Achat</t>
  </si>
  <si>
    <t>UNITÉS</t>
  </si>
  <si>
    <t>Prix ajustés</t>
  </si>
  <si>
    <t>Éditeur</t>
  </si>
  <si>
    <t>Unit</t>
  </si>
  <si>
    <t>A.Roussel</t>
  </si>
  <si>
    <t>Cardre arche 6'</t>
  </si>
  <si>
    <t xml:space="preserve">cadre de départ 5x10 </t>
  </si>
  <si>
    <t>Croisillon 7x4</t>
  </si>
  <si>
    <t>Bras de retenue</t>
  </si>
  <si>
    <t>escalier galv</t>
  </si>
  <si>
    <t>Main courante int</t>
  </si>
  <si>
    <t>Main courante ext</t>
  </si>
  <si>
    <t>Aluma 14</t>
  </si>
  <si>
    <t>Aluma 24</t>
  </si>
  <si>
    <t>Jack</t>
  </si>
  <si>
    <t xml:space="preserve">Banane </t>
  </si>
  <si>
    <t>Cadre en arche</t>
  </si>
  <si>
    <t xml:space="preserve">Plywood </t>
  </si>
  <si>
    <t>N.Parent</t>
  </si>
  <si>
    <t xml:space="preserve">Tuyau alu </t>
  </si>
  <si>
    <t>Clam</t>
  </si>
  <si>
    <t>Fillet</t>
  </si>
  <si>
    <t xml:space="preserve">Transport </t>
  </si>
  <si>
    <t>Transport - par sens</t>
  </si>
  <si>
    <t>attestation</t>
  </si>
  <si>
    <t>Plans Ing</t>
  </si>
  <si>
    <t>Main D'œuvre install</t>
  </si>
  <si>
    <t>Main D'œuvre déinstall</t>
  </si>
  <si>
    <t>Démobilisation</t>
  </si>
  <si>
    <t xml:space="preserve">Grue </t>
  </si>
  <si>
    <t xml:space="preserve">Occupation au sol </t>
  </si>
  <si>
    <t>pica</t>
  </si>
  <si>
    <t xml:space="preserve">Bras d'ancrage </t>
  </si>
  <si>
    <t xml:space="preserve">Porte escalier </t>
  </si>
  <si>
    <t>Ancrage + Caulcking</t>
  </si>
  <si>
    <t>Isolant 3"</t>
  </si>
  <si>
    <t>DATE</t>
  </si>
  <si>
    <t>15 M$ STD</t>
  </si>
  <si>
    <t>10 M$ STD</t>
  </si>
  <si>
    <t>WRAPUP 5M $</t>
  </si>
  <si>
    <t>WRAPUP + de 5M$ --&gt; Appel</t>
  </si>
  <si>
    <t>50/50</t>
  </si>
  <si>
    <t xml:space="preserve">! PHÉNOLIQUE ! </t>
  </si>
  <si>
    <t>Phenolique</t>
  </si>
  <si>
    <t xml:space="preserve">1h - Min. requis </t>
  </si>
  <si>
    <t>Description/ observations / commentaires</t>
  </si>
  <si>
    <t xml:space="preserve">Signature : </t>
  </si>
  <si>
    <t>Nom du chargé de projet</t>
  </si>
  <si>
    <t xml:space="preserve">Nom du contremaitre  : </t>
  </si>
  <si>
    <t xml:space="preserve">Étape 4 : Exécution - Découverte de pontage non détecté lors de l'inspection </t>
  </si>
  <si>
    <t>dans ce cas documenter et annexer les mesures prises pour palier au problème.</t>
  </si>
  <si>
    <t xml:space="preserve">Inspection révèle problème de ponatge pouvant être un risque pour la sécurité des travailleurs </t>
  </si>
  <si>
    <t>□</t>
  </si>
  <si>
    <t>Inspection n'a rien révélé comme problématique nous pouvons procéder aux travaux normalement</t>
  </si>
  <si>
    <t xml:space="preserve">Nom de l'inspecteur  : </t>
  </si>
  <si>
    <t xml:space="preserve">Étape 3 : Inspection pré-exécution </t>
  </si>
  <si>
    <t>Signature de l'estimateur</t>
  </si>
  <si>
    <t xml:space="preserve">Nom de l'estimateur </t>
  </si>
  <si>
    <t>Date :</t>
  </si>
  <si>
    <t>J'ai personellement informé le client des risques rattachés a la présence de l'isolant phénolique sur son batiment.</t>
  </si>
  <si>
    <t>Étape 2 : Informer le client</t>
  </si>
  <si>
    <t xml:space="preserve">Signature du technicien </t>
  </si>
  <si>
    <t xml:space="preserve">Nom du technicien </t>
  </si>
  <si>
    <t xml:space="preserve">Aucune coupe d'essai possible une coupe d'essai sera nécessaire avant de débuter les travaux. </t>
  </si>
  <si>
    <t xml:space="preserve">Suite au cut test j'ai identifié qu'il n'y avait pas d'isolant phoénolique  dans la composition de la toiture </t>
  </si>
  <si>
    <t xml:space="preserve">Suite au cut test j'ai identifié qu'il y avait de l'isolant phénolique dans la composition de la toiture </t>
  </si>
  <si>
    <t xml:space="preserve">Étape 1 : Soumission </t>
  </si>
  <si>
    <t xml:space="preserve">No de projet </t>
  </si>
  <si>
    <t xml:space="preserve">Adresse </t>
  </si>
  <si>
    <t>No de soumission</t>
  </si>
  <si>
    <t xml:space="preserve">Formulaire de déclaration - Identification d'isolant Phénolique </t>
  </si>
  <si>
    <t xml:space="preserve"> /            /</t>
  </si>
  <si>
    <t>Dénonciation de contrat</t>
  </si>
  <si>
    <t xml:space="preserve">NOTES ET COMMENTAIRES </t>
  </si>
  <si>
    <t>"nom"</t>
  </si>
  <si>
    <t xml:space="preserve">ASSURANCES RESP. CIVILE </t>
  </si>
  <si>
    <t>5 M$ STD (défault)</t>
  </si>
  <si>
    <t xml:space="preserve"> * * 8 @ 12 $ / PI pour MDO</t>
  </si>
  <si>
    <t>fab</t>
  </si>
  <si>
    <t>TOTAL CAL 24</t>
  </si>
  <si>
    <t>install</t>
  </si>
  <si>
    <t>Cal 24</t>
  </si>
  <si>
    <t>TOTAL CAL 26</t>
  </si>
  <si>
    <t>20 minutes</t>
  </si>
  <si>
    <t>$/pi²</t>
  </si>
  <si>
    <t>temps - Min</t>
  </si>
  <si>
    <t>cal 26</t>
  </si>
  <si>
    <t>15 minutes</t>
  </si>
  <si>
    <t>pi²</t>
  </si>
  <si>
    <t>Méthode du pied carré par feuille</t>
  </si>
  <si>
    <t>Méthode du pied carré tight</t>
  </si>
  <si>
    <t>COINS</t>
  </si>
  <si>
    <t>HRS/ Feuille</t>
  </si>
  <si>
    <t>/ FEUILLE</t>
  </si>
  <si>
    <t>FABRICATION</t>
  </si>
  <si>
    <t>HRS/ PIEDS</t>
  </si>
  <si>
    <t xml:space="preserve"> / LONGUEUR</t>
  </si>
  <si>
    <t>TEMPS POUR VISSER</t>
  </si>
  <si>
    <t>/ UNITÉ</t>
  </si>
  <si>
    <t>TEMPS POUR COIN</t>
  </si>
  <si>
    <t>HRS/ tube</t>
  </si>
  <si>
    <t xml:space="preserve"> / TUBE</t>
  </si>
  <si>
    <t>TEMPS POUR SCELLANT</t>
  </si>
  <si>
    <t>TEMPS POUR DRIP</t>
  </si>
  <si>
    <t>MISC</t>
  </si>
  <si>
    <t xml:space="preserve">TEMPS POUR CAP </t>
  </si>
  <si>
    <t>NOMBRE D'HEURES ATELIER</t>
  </si>
  <si>
    <t>Temps pour contre solin</t>
  </si>
  <si>
    <t>NOMBRE D'HEURES CHANTIER</t>
  </si>
  <si>
    <t>Temps pour chaise int</t>
  </si>
  <si>
    <t>NOMBRE FEUIL METAL B.A.</t>
  </si>
  <si>
    <t>Temps pour chaise ext</t>
  </si>
  <si>
    <t>NOMBRE DE TUBES DE SCELLANT</t>
  </si>
  <si>
    <t>longeur par heure</t>
  </si>
  <si>
    <t>minutes par pieds</t>
  </si>
  <si>
    <t>heures par pieds</t>
  </si>
  <si>
    <t>MINUTES</t>
  </si>
  <si>
    <t>longueur par jour</t>
  </si>
  <si>
    <t xml:space="preserve">MAT </t>
  </si>
  <si>
    <t>NOMBRE DE FEUILLES</t>
  </si>
  <si>
    <t>GRAND TOTAL</t>
  </si>
  <si>
    <t>Sous Total</t>
  </si>
  <si>
    <t>Cout Unitaire</t>
  </si>
  <si>
    <t xml:space="preserve">Quantité </t>
  </si>
  <si>
    <t>COMPILATION</t>
  </si>
  <si>
    <t>D16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</si>
  <si>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</si>
  <si>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</si>
  <si>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</si>
  <si>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</si>
  <si>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</si>
  <si>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</si>
  <si>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</si>
  <si>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</si>
  <si>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</si>
  <si>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</si>
  <si>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</si>
  <si>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</si>
  <si>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</si>
  <si>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</si>
  <si>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</si>
  <si>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Bandes d'attaches
Feuilles</t>
  </si>
  <si>
    <t>Perte 
évaluée</t>
  </si>
  <si>
    <t>FEUILLES</t>
  </si>
  <si>
    <t>long
 par feuille</t>
  </si>
  <si>
    <t xml:space="preserve"> #/48"</t>
  </si>
  <si>
    <t>plafond</t>
  </si>
  <si>
    <t>L moyen</t>
  </si>
  <si>
    <t>TEMPS ESTIMÉ</t>
  </si>
  <si>
    <t>Coins</t>
  </si>
  <si>
    <t xml:space="preserve">scellant
Joints / Continu
(au 8'=1) </t>
  </si>
  <si>
    <t>Rang de vis 
 ( @12" c/c = 1 
 @24" c/c =0,5)</t>
  </si>
  <si>
    <t># Bandes 
d'attaches</t>
  </si>
  <si>
    <t># étapes</t>
  </si>
  <si>
    <t>Largeur
(PO)</t>
  </si>
  <si>
    <t>Pl</t>
  </si>
  <si>
    <t xml:space="preserve">DÉTAIL </t>
  </si>
  <si>
    <t>#</t>
  </si>
  <si>
    <t>Scellant</t>
  </si>
  <si>
    <t>nombre de clous</t>
  </si>
  <si>
    <t>Nombre de vis</t>
  </si>
  <si>
    <t>Metal supplémentaire</t>
  </si>
  <si>
    <t>ESTIMATION DE FERBLANTERIE</t>
  </si>
  <si>
    <t>PI .ca</t>
  </si>
  <si>
    <t>CAP FAINE</t>
  </si>
  <si>
    <t>(Nom - Adresse)</t>
  </si>
  <si>
    <t>(courriel)</t>
  </si>
  <si>
    <t>(tel)</t>
  </si>
  <si>
    <t>(contact nom)</t>
  </si>
  <si>
    <t>**Facturer a (Cochez) **</t>
  </si>
  <si>
    <t xml:space="preserve">TYPE BATIMENT (secteur) </t>
  </si>
  <si>
    <t xml:space="preserve">&lt;-- Ganrantie </t>
  </si>
  <si>
    <t>RÈGLE</t>
  </si>
  <si>
    <t>0,1 $ / mille pi²</t>
  </si>
  <si>
    <t>&lt;-- Inscrire valeur</t>
  </si>
  <si>
    <t>0,15 $ / mille pi²</t>
  </si>
  <si>
    <t>0,20 $ / mille pi²</t>
  </si>
  <si>
    <t>Nom</t>
  </si>
  <si>
    <t>Détail</t>
  </si>
  <si>
    <t xml:space="preserve">Drain </t>
  </si>
  <si>
    <t>1/A405</t>
  </si>
  <si>
    <t>un.</t>
  </si>
  <si>
    <t>DÉSACTIVER SECTION</t>
  </si>
  <si>
    <t>Garantie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</si>
</sst>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8" formatCode="#,##0.00\ &quot;$&quot;_);[Red]\(#,##0.00\ &quot;$&quot;\)"/>
    <numFmt numFmtId="44" formatCode="_ * #,##0.00_)\ &quot;$&quot;_ ;_ * \(#,##0.00\)\ &quot;$&quot;_ ;_ * &quot;-&quot;??_)\ &quot;$&quot;_ ;_ @_ "/>
    <numFmt numFmtId="164" formatCode="&quot;$&quot;#,##0.00;\-&quot;$&quot;#,##0.00"/>
    <numFmt numFmtId="165" formatCode="_-&quot;$&quot;* #,##0.00_-;\-&quot;$&quot;* #,##0.00_-;_-&quot;$&quot;* &quot;-&quot;??_-;_-@_-"/>
    <numFmt numFmtId="166" formatCode="#,##0.00\ &quot;$&quot;"/>
    <numFmt numFmtId="167" formatCode="##&quot; Hrs/jour&quot;"/>
    <numFmt numFmtId="168" formatCode="##&quot; Hommes&quot;"/>
    <numFmt numFmtId="169" formatCode="##&quot; Jours&quot;"/>
    <numFmt numFmtId="170" formatCode="#####&quot; Heures&quot;"/>
    <numFmt numFmtId="171" formatCode="##&quot; HEURES&quot;"/>
    <numFmt numFmtId="172" formatCode="######&quot; $/h&quot;"/>
    <numFmt numFmtId="173" formatCode="###.##&quot; $/jour&quot;"/>
    <numFmt numFmtId="174" formatCode="###&quot;  Km&quot;"/>
    <numFmt numFmtId="175" formatCode="&quot;$&quot;#,##0.00"/>
    <numFmt numFmtId="176" formatCode="##0.00&quot; $/jour&quot;"/>
    <numFmt numFmtId="177" formatCode="#&quot; PI²&quot;"/>
    <numFmt numFmtId="178" formatCode="0.0"/>
    <numFmt numFmtId="179" formatCode="0####"/>
    <numFmt numFmtId="180" formatCode="0.0%"/>
    <numFmt numFmtId="181" formatCode="0.000%"/>
    <numFmt numFmtId="182" formatCode="#\ ??/1000"/>
    <numFmt numFmtId="183" formatCode="0.000"/>
    <numFmt numFmtId="184" formatCode="#.00&quot;$&quot;&quot; / 1000&quot;"/>
    <numFmt numFmtId="185" formatCode="#&quot; X Période 28 jrs&quot;"/>
    <numFmt numFmtId="186" formatCode="#&quot; HRS X JOUR&quot;"/>
    <numFmt numFmtId="187" formatCode="#\ &quot; JOUR&quot;"/>
    <numFmt numFmtId="188" formatCode="#&quot; HEURES*HOMMES&quot;"/>
    <numFmt numFmtId="189" formatCode="#&quot; JOURS&quot;"/>
    <numFmt numFmtId="190" formatCode="#0.00&quot; $/jour&quot;"/>
    <numFmt numFmtId="191" formatCode="#&quot; hrs&quot;"/>
    <numFmt numFmtId="192" formatCode="#.00&quot; $/CARRÉ&quot;"/>
    <numFmt numFmtId="193" formatCode="#.00&quot; $/PI²&quot;"/>
    <numFmt numFmtId="194" formatCode="#####&quot; L&quot;"/>
    <numFmt numFmtId="195" formatCode="#####&quot; $ FIXE&quot;"/>
    <numFmt numFmtId="196" formatCode="#&quot; VEH&quot;"/>
    <numFmt numFmtId="197" formatCode="#####&quot; Mois&quot;"/>
    <numFmt numFmtId="198" formatCode="#,##0\ &quot;$&quot;"/>
    <numFmt numFmtId="199" formatCode="#####&quot; $ MDO&quot;"/>
    <numFmt numFmtId="200" formatCode="###,###&quot; PI²&quot;"/>
    <numFmt numFmtId="201" formatCode="#,##0.000\ &quot;$&quot;"/>
    <numFmt numFmtId="202" formatCode="0.0000"/>
    <numFmt numFmtId="203" formatCode="_-* #,##0.00_-;\-* #,##0.00_-;_-* &quot;-&quot;??_-;_-@_-"/>
    <numFmt numFmtId="204" formatCode="0.00\ &quot;$&quot;&quot;/Unité&quot;"/>
  </numFmts>
  <fonts count="5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8"/>
      <color rgb="FF1A1A1A"/>
      <name val="Arial"/>
      <family val="2"/>
    </font>
    <font>
      <b/>
      <sz val="8"/>
      <color rgb="FFFF0000"/>
      <name val="Arial"/>
      <family val="2"/>
    </font>
    <font>
      <sz val="3"/>
      <color rgb="FF1A1A1A"/>
      <name val="Arial"/>
      <family val="2"/>
    </font>
    <font>
      <b/>
      <sz val="9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color rgb="FF000000"/>
      <name val="Tahoma"/>
      <family val="2"/>
    </font>
    <font>
      <sz val="5"/>
      <color theme="0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0"/>
      <color rgb="FF1A1A1A"/>
      <name val="Arial"/>
      <family val="2"/>
    </font>
    <font>
      <b/>
      <sz val="12"/>
      <color indexed="9"/>
      <name val="Arial"/>
      <family val="2"/>
    </font>
    <font>
      <b/>
      <u/>
      <sz val="1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color indexed="22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indexed="64"/>
      </right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theme="8" tint="-0.24994659260841701"/>
      </left>
      <right/>
      <top/>
      <bottom style="double">
        <color theme="8" tint="-0.24994659260841701"/>
      </bottom>
      <diagonal/>
    </border>
    <border>
      <left/>
      <right/>
      <top/>
      <bottom style="double">
        <color theme="8" tint="-0.24994659260841701"/>
      </bottom>
      <diagonal/>
    </border>
    <border>
      <left/>
      <right style="double">
        <color theme="8" tint="-0.24994659260841701"/>
      </right>
      <top/>
      <bottom style="double">
        <color theme="8" tint="-0.2499465926084170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theme="8" tint="-0.24994659260841701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</borders>
  <cellStyleXfs count="16">
    <xf numFmtId="0" fontId="0" fillId="0" borderId="0"/>
    <xf numFmtId="0" fontId="2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7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73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2" xfId="0" applyFill="1" applyBorder="1"/>
    <xf numFmtId="0" fontId="0" fillId="0" borderId="4" xfId="0" applyBorder="1"/>
    <xf numFmtId="0" fontId="0" fillId="0" borderId="0" xfId="0" applyAlignment="1">
      <alignment horizontal="right"/>
    </xf>
    <xf numFmtId="0" fontId="0" fillId="2" borderId="14" xfId="0" applyFill="1" applyBorder="1"/>
    <xf numFmtId="172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/>
    <xf numFmtId="0" fontId="0" fillId="0" borderId="0" xfId="0" applyAlignment="1">
      <alignment vertical="center"/>
    </xf>
    <xf numFmtId="0" fontId="0" fillId="0" borderId="2" xfId="0" applyBorder="1"/>
    <xf numFmtId="178" fontId="0" fillId="0" borderId="2" xfId="0" applyNumberFormat="1" applyBorder="1" applyAlignment="1">
      <alignment horizontal="center" vertical="center"/>
    </xf>
    <xf numFmtId="0" fontId="0" fillId="3" borderId="0" xfId="0" applyFill="1"/>
    <xf numFmtId="10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" xfId="0" applyBorder="1"/>
    <xf numFmtId="0" fontId="0" fillId="0" borderId="33" xfId="0" applyBorder="1"/>
    <xf numFmtId="10" fontId="0" fillId="2" borderId="2" xfId="0" applyNumberFormat="1" applyFill="1" applyBorder="1"/>
    <xf numFmtId="10" fontId="0" fillId="0" borderId="2" xfId="0" applyNumberFormat="1" applyBorder="1"/>
    <xf numFmtId="0" fontId="0" fillId="0" borderId="31" xfId="0" applyBorder="1"/>
    <xf numFmtId="0" fontId="0" fillId="0" borderId="23" xfId="0" applyBorder="1"/>
    <xf numFmtId="0" fontId="0" fillId="0" borderId="32" xfId="0" applyBorder="1"/>
    <xf numFmtId="0" fontId="0" fillId="0" borderId="14" xfId="0" applyBorder="1"/>
    <xf numFmtId="178" fontId="0" fillId="0" borderId="2" xfId="0" applyNumberFormat="1" applyBorder="1"/>
    <xf numFmtId="178" fontId="0" fillId="0" borderId="2" xfId="0" applyNumberFormat="1" applyBorder="1" applyAlignment="1">
      <alignment horizontal="center"/>
    </xf>
    <xf numFmtId="1" fontId="0" fillId="0" borderId="0" xfId="0" applyNumberFormat="1"/>
    <xf numFmtId="44" fontId="0" fillId="0" borderId="0" xfId="0" applyNumberFormat="1"/>
    <xf numFmtId="44" fontId="0" fillId="0" borderId="2" xfId="0" applyNumberFormat="1" applyBorder="1"/>
    <xf numFmtId="165" fontId="0" fillId="0" borderId="0" xfId="0" applyNumberFormat="1"/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0" borderId="0" xfId="5" applyFill="1" applyBorder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27" xfId="0" applyFill="1" applyBorder="1"/>
    <xf numFmtId="10" fontId="0" fillId="2" borderId="0" xfId="0" applyNumberFormat="1" applyFill="1"/>
    <xf numFmtId="0" fontId="15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172" fontId="29" fillId="2" borderId="0" xfId="0" applyNumberFormat="1" applyFont="1" applyFill="1" applyAlignment="1">
      <alignment horizontal="center" vertical="center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10" fontId="0" fillId="0" borderId="2" xfId="0" applyNumberFormat="1" applyBorder="1" applyProtection="1">
      <protection locked="0"/>
    </xf>
    <xf numFmtId="0" fontId="0" fillId="2" borderId="2" xfId="0" applyFill="1" applyBorder="1" applyAlignment="1" applyProtection="1">
      <alignment vertical="center"/>
      <protection locked="0"/>
    </xf>
    <xf numFmtId="165" fontId="0" fillId="2" borderId="2" xfId="0" applyNumberFormat="1" applyFill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10" fontId="0" fillId="2" borderId="2" xfId="0" applyNumberFormat="1" applyFill="1" applyBorder="1" applyAlignment="1" applyProtection="1">
      <alignment vertical="center"/>
      <protection locked="0"/>
    </xf>
    <xf numFmtId="0" fontId="0" fillId="2" borderId="14" xfId="0" applyFill="1" applyBorder="1" applyAlignment="1" applyProtection="1">
      <alignment vertical="center"/>
      <protection locked="0"/>
    </xf>
    <xf numFmtId="0" fontId="28" fillId="10" borderId="0" xfId="0" applyFont="1" applyFill="1" applyAlignment="1" applyProtection="1">
      <alignment horizontal="center"/>
      <protection locked="0"/>
    </xf>
    <xf numFmtId="44" fontId="0" fillId="0" borderId="14" xfId="0" applyNumberFormat="1" applyBorder="1"/>
    <xf numFmtId="44" fontId="0" fillId="0" borderId="1" xfId="0" applyNumberFormat="1" applyBorder="1"/>
    <xf numFmtId="178" fontId="0" fillId="0" borderId="0" xfId="0" applyNumberFormat="1" applyAlignment="1">
      <alignment horizontal="center"/>
    </xf>
    <xf numFmtId="44" fontId="9" fillId="0" borderId="0" xfId="15" applyBorder="1"/>
    <xf numFmtId="44" fontId="9" fillId="0" borderId="0" xfId="15" applyBorder="1" applyAlignment="1">
      <alignment horizontal="center"/>
    </xf>
    <xf numFmtId="173" fontId="24" fillId="0" borderId="0" xfId="0" applyNumberFormat="1" applyFont="1"/>
    <xf numFmtId="173" fontId="0" fillId="0" borderId="0" xfId="0" applyNumberFormat="1"/>
    <xf numFmtId="0" fontId="25" fillId="0" borderId="0" xfId="0" applyFont="1"/>
    <xf numFmtId="0" fontId="11" fillId="0" borderId="0" xfId="0" applyFont="1" applyAlignment="1">
      <alignment horizontal="center"/>
    </xf>
    <xf numFmtId="183" fontId="0" fillId="0" borderId="0" xfId="0" applyNumberFormat="1" applyAlignment="1">
      <alignment vertical="center"/>
    </xf>
    <xf numFmtId="183" fontId="0" fillId="0" borderId="0" xfId="0" applyNumberFormat="1" applyAlignment="1">
      <alignment horizontal="center" vertical="center"/>
    </xf>
    <xf numFmtId="0" fontId="6" fillId="0" borderId="0" xfId="0" applyFont="1" applyAlignment="1">
      <alignment vertical="center" textRotation="90"/>
    </xf>
    <xf numFmtId="183" fontId="16" fillId="0" borderId="0" xfId="0" applyNumberFormat="1" applyFont="1" applyAlignment="1">
      <alignment vertical="center"/>
    </xf>
    <xf numFmtId="183" fontId="16" fillId="0" borderId="7" xfId="0" applyNumberFormat="1" applyFont="1" applyBorder="1" applyAlignment="1">
      <alignment vertical="center"/>
    </xf>
    <xf numFmtId="0" fontId="0" fillId="2" borderId="58" xfId="0" applyFill="1" applyBorder="1" applyAlignment="1">
      <alignment horizontal="center" vertical="center"/>
    </xf>
    <xf numFmtId="0" fontId="0" fillId="0" borderId="3" xfId="0" applyBorder="1"/>
    <xf numFmtId="0" fontId="0" fillId="0" borderId="11" xfId="0" applyBorder="1"/>
    <xf numFmtId="0" fontId="6" fillId="2" borderId="17" xfId="0" applyFont="1" applyFill="1" applyBorder="1"/>
    <xf numFmtId="0" fontId="6" fillId="2" borderId="16" xfId="0" applyFont="1" applyFill="1" applyBorder="1"/>
    <xf numFmtId="0" fontId="6" fillId="2" borderId="23" xfId="0" applyFont="1" applyFill="1" applyBorder="1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1" fillId="0" borderId="0" xfId="0" applyFont="1"/>
    <xf numFmtId="165" fontId="6" fillId="0" borderId="0" xfId="0" applyNumberFormat="1" applyFont="1"/>
    <xf numFmtId="0" fontId="22" fillId="0" borderId="0" xfId="0" applyFont="1"/>
    <xf numFmtId="165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77" fontId="0" fillId="0" borderId="23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2" fontId="0" fillId="0" borderId="0" xfId="0" applyNumberFormat="1"/>
    <xf numFmtId="165" fontId="22" fillId="0" borderId="0" xfId="0" applyNumberFormat="1" applyFont="1" applyAlignment="1">
      <alignment horizontal="right" vertical="center"/>
    </xf>
    <xf numFmtId="0" fontId="0" fillId="0" borderId="24" xfId="0" applyBorder="1"/>
    <xf numFmtId="0" fontId="0" fillId="0" borderId="17" xfId="0" applyBorder="1"/>
    <xf numFmtId="0" fontId="19" fillId="2" borderId="1" xfId="0" applyFont="1" applyFill="1" applyBorder="1" applyAlignment="1">
      <alignment horizontal="left" indent="1"/>
    </xf>
    <xf numFmtId="0" fontId="19" fillId="2" borderId="0" xfId="0" applyFont="1" applyFill="1" applyAlignment="1">
      <alignment horizontal="left" indent="1"/>
    </xf>
    <xf numFmtId="0" fontId="19" fillId="2" borderId="28" xfId="0" applyFont="1" applyFill="1" applyBorder="1" applyAlignment="1">
      <alignment horizontal="left" indent="1"/>
    </xf>
    <xf numFmtId="0" fontId="19" fillId="2" borderId="29" xfId="0" applyFont="1" applyFill="1" applyBorder="1" applyAlignment="1">
      <alignment horizontal="left" indent="1"/>
    </xf>
    <xf numFmtId="0" fontId="18" fillId="0" borderId="0" xfId="0" applyFont="1" applyAlignment="1">
      <alignment horizontal="left" indent="1"/>
    </xf>
    <xf numFmtId="1" fontId="3" fillId="0" borderId="0" xfId="1" applyNumberFormat="1" applyFont="1"/>
    <xf numFmtId="0" fontId="6" fillId="0" borderId="0" xfId="0" applyFont="1" applyAlignment="1">
      <alignment horizontal="right" vertic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5" xfId="0" applyBorder="1"/>
    <xf numFmtId="0" fontId="0" fillId="0" borderId="22" xfId="0" applyBorder="1"/>
    <xf numFmtId="0" fontId="17" fillId="0" borderId="0" xfId="0" applyFont="1" applyAlignment="1">
      <alignment vertical="top"/>
    </xf>
    <xf numFmtId="0" fontId="17" fillId="0" borderId="23" xfId="0" applyFont="1" applyBorder="1" applyAlignment="1">
      <alignment vertical="top"/>
    </xf>
    <xf numFmtId="0" fontId="0" fillId="6" borderId="26" xfId="0" applyFill="1" applyBorder="1" applyProtection="1">
      <protection locked="0"/>
    </xf>
    <xf numFmtId="0" fontId="0" fillId="2" borderId="28" xfId="0" applyFill="1" applyBorder="1" applyAlignment="1" applyProtection="1">
      <alignment horizontal="center"/>
      <protection locked="0" hidden="1"/>
    </xf>
    <xf numFmtId="0" fontId="20" fillId="0" borderId="31" xfId="0" applyFont="1" applyBorder="1" applyAlignment="1" applyProtection="1">
      <alignment horizontal="center" vertical="center"/>
      <protection locked="0" hidden="1"/>
    </xf>
    <xf numFmtId="0" fontId="20" fillId="0" borderId="1" xfId="0" applyFont="1" applyBorder="1" applyAlignment="1" applyProtection="1">
      <alignment horizontal="center" vertical="center"/>
      <protection locked="0" hidden="1"/>
    </xf>
    <xf numFmtId="0" fontId="20" fillId="0" borderId="17" xfId="0" applyFont="1" applyBorder="1" applyAlignment="1" applyProtection="1">
      <alignment horizontal="center" vertical="center"/>
      <protection locked="0" hidden="1"/>
    </xf>
    <xf numFmtId="0" fontId="18" fillId="2" borderId="1" xfId="0" applyFont="1" applyFill="1" applyBorder="1" applyAlignment="1" applyProtection="1">
      <alignment horizontal="left" indent="1"/>
      <protection locked="0" hidden="1"/>
    </xf>
    <xf numFmtId="0" fontId="0" fillId="2" borderId="28" xfId="0" applyFill="1" applyBorder="1" applyProtection="1">
      <protection locked="0" hidden="1"/>
    </xf>
    <xf numFmtId="0" fontId="18" fillId="2" borderId="28" xfId="0" applyFont="1" applyFill="1" applyBorder="1" applyAlignment="1" applyProtection="1">
      <alignment horizontal="left" indent="1"/>
      <protection locked="0" hidden="1"/>
    </xf>
    <xf numFmtId="0" fontId="0" fillId="0" borderId="0" xfId="0" applyAlignment="1" applyProtection="1">
      <alignment horizontal="center"/>
      <protection locked="0"/>
    </xf>
    <xf numFmtId="0" fontId="0" fillId="0" borderId="29" xfId="0" applyBorder="1" applyAlignment="1">
      <alignment horizontal="center"/>
    </xf>
    <xf numFmtId="0" fontId="35" fillId="0" borderId="0" xfId="0" applyFont="1" applyAlignment="1">
      <alignment horizontal="center"/>
    </xf>
    <xf numFmtId="0" fontId="34" fillId="0" borderId="0" xfId="0" applyFont="1"/>
    <xf numFmtId="0" fontId="0" fillId="0" borderId="30" xfId="0" applyBorder="1" applyProtection="1">
      <protection locked="0"/>
    </xf>
    <xf numFmtId="0" fontId="0" fillId="0" borderId="33" xfId="0" applyBorder="1" applyProtection="1">
      <protection locked="0"/>
    </xf>
    <xf numFmtId="44" fontId="0" fillId="0" borderId="32" xfId="0" applyNumberFormat="1" applyBorder="1" applyProtection="1">
      <protection locked="0"/>
    </xf>
    <xf numFmtId="0" fontId="0" fillId="0" borderId="32" xfId="0" applyBorder="1" applyProtection="1">
      <protection locked="0"/>
    </xf>
    <xf numFmtId="1" fontId="11" fillId="6" borderId="19" xfId="0" applyNumberFormat="1" applyFont="1" applyFill="1" applyBorder="1" applyAlignment="1" applyProtection="1">
      <alignment vertical="center"/>
      <protection locked="0"/>
    </xf>
    <xf numFmtId="1" fontId="11" fillId="6" borderId="26" xfId="0" applyNumberFormat="1" applyFont="1" applyFill="1" applyBorder="1" applyAlignment="1" applyProtection="1">
      <alignment vertical="center"/>
      <protection locked="0"/>
    </xf>
    <xf numFmtId="1" fontId="11" fillId="6" borderId="21" xfId="0" applyNumberFormat="1" applyFont="1" applyFill="1" applyBorder="1" applyAlignment="1" applyProtection="1">
      <alignment vertical="center"/>
      <protection locked="0"/>
    </xf>
    <xf numFmtId="0" fontId="3" fillId="0" borderId="0" xfId="2"/>
    <xf numFmtId="0" fontId="3" fillId="0" borderId="0" xfId="2" applyAlignment="1">
      <alignment horizontal="center"/>
    </xf>
    <xf numFmtId="0" fontId="3" fillId="0" borderId="0" xfId="2" applyAlignment="1">
      <alignment horizontal="right"/>
    </xf>
    <xf numFmtId="0" fontId="37" fillId="12" borderId="0" xfId="2" applyFont="1" applyFill="1"/>
    <xf numFmtId="0" fontId="37" fillId="12" borderId="0" xfId="2" applyFont="1" applyFill="1" applyAlignment="1">
      <alignment horizontal="center"/>
    </xf>
    <xf numFmtId="0" fontId="3" fillId="13" borderId="17" xfId="2" applyFill="1" applyBorder="1" applyAlignment="1">
      <alignment horizontal="center"/>
    </xf>
    <xf numFmtId="0" fontId="3" fillId="13" borderId="2" xfId="2" applyFill="1" applyBorder="1"/>
    <xf numFmtId="0" fontId="3" fillId="13" borderId="2" xfId="2" applyFill="1" applyBorder="1" applyAlignment="1">
      <alignment horizontal="center"/>
    </xf>
    <xf numFmtId="0" fontId="3" fillId="0" borderId="15" xfId="2" applyBorder="1" applyAlignment="1">
      <alignment horizontal="center"/>
    </xf>
    <xf numFmtId="44" fontId="3" fillId="0" borderId="2" xfId="2" applyNumberFormat="1" applyBorder="1"/>
    <xf numFmtId="0" fontId="3" fillId="0" borderId="2" xfId="2" applyBorder="1" applyAlignment="1">
      <alignment horizontal="center"/>
    </xf>
    <xf numFmtId="166" fontId="3" fillId="0" borderId="2" xfId="2" applyNumberFormat="1" applyBorder="1"/>
    <xf numFmtId="166" fontId="3" fillId="0" borderId="0" xfId="2" applyNumberFormat="1"/>
    <xf numFmtId="0" fontId="3" fillId="13" borderId="17" xfId="2" applyFill="1" applyBorder="1"/>
    <xf numFmtId="0" fontId="3" fillId="0" borderId="15" xfId="2" applyBorder="1"/>
    <xf numFmtId="0" fontId="37" fillId="0" borderId="0" xfId="2" applyFont="1"/>
    <xf numFmtId="0" fontId="37" fillId="0" borderId="0" xfId="2" applyFont="1" applyAlignment="1">
      <alignment horizontal="center"/>
    </xf>
    <xf numFmtId="44" fontId="3" fillId="0" borderId="0" xfId="2" applyNumberFormat="1"/>
    <xf numFmtId="0" fontId="3" fillId="0" borderId="14" xfId="2" applyBorder="1" applyAlignment="1">
      <alignment horizontal="center"/>
    </xf>
    <xf numFmtId="166" fontId="3" fillId="0" borderId="14" xfId="2" applyNumberFormat="1" applyBorder="1"/>
    <xf numFmtId="166" fontId="37" fillId="12" borderId="0" xfId="2" applyNumberFormat="1" applyFont="1" applyFill="1"/>
    <xf numFmtId="0" fontId="3" fillId="0" borderId="27" xfId="2" applyBorder="1"/>
    <xf numFmtId="0" fontId="3" fillId="0" borderId="31" xfId="2" applyBorder="1"/>
    <xf numFmtId="44" fontId="3" fillId="0" borderId="32" xfId="2" applyNumberFormat="1" applyBorder="1"/>
    <xf numFmtId="0" fontId="3" fillId="0" borderId="27" xfId="2" applyBorder="1" applyAlignment="1">
      <alignment horizontal="center"/>
    </xf>
    <xf numFmtId="44" fontId="3" fillId="0" borderId="27" xfId="2" applyNumberFormat="1" applyBorder="1"/>
    <xf numFmtId="0" fontId="3" fillId="0" borderId="33" xfId="2" applyBorder="1"/>
    <xf numFmtId="0" fontId="3" fillId="0" borderId="2" xfId="2" applyBorder="1"/>
    <xf numFmtId="0" fontId="3" fillId="0" borderId="17" xfId="2" applyBorder="1"/>
    <xf numFmtId="44" fontId="3" fillId="0" borderId="15" xfId="2" applyNumberFormat="1" applyBorder="1"/>
    <xf numFmtId="0" fontId="3" fillId="0" borderId="32" xfId="2" applyBorder="1" applyAlignment="1">
      <alignment horizontal="center"/>
    </xf>
    <xf numFmtId="0" fontId="3" fillId="0" borderId="54" xfId="2" applyBorder="1" applyAlignment="1">
      <alignment horizontal="center"/>
    </xf>
    <xf numFmtId="44" fontId="37" fillId="12" borderId="0" xfId="2" applyNumberFormat="1" applyFont="1" applyFill="1"/>
    <xf numFmtId="44" fontId="37" fillId="0" borderId="0" xfId="2" applyNumberFormat="1" applyFont="1"/>
    <xf numFmtId="0" fontId="3" fillId="13" borderId="24" xfId="2" applyFill="1" applyBorder="1" applyAlignment="1">
      <alignment horizontal="center"/>
    </xf>
    <xf numFmtId="44" fontId="3" fillId="13" borderId="2" xfId="2" applyNumberFormat="1" applyFill="1" applyBorder="1" applyAlignment="1">
      <alignment horizontal="center"/>
    </xf>
    <xf numFmtId="0" fontId="3" fillId="0" borderId="28" xfId="2" applyBorder="1"/>
    <xf numFmtId="178" fontId="3" fillId="0" borderId="2" xfId="2" applyNumberFormat="1" applyBorder="1" applyAlignment="1">
      <alignment horizontal="center"/>
    </xf>
    <xf numFmtId="44" fontId="3" fillId="0" borderId="2" xfId="2" applyNumberFormat="1" applyBorder="1" applyAlignment="1">
      <alignment horizontal="center"/>
    </xf>
    <xf numFmtId="0" fontId="3" fillId="0" borderId="1" xfId="2" applyBorder="1"/>
    <xf numFmtId="0" fontId="3" fillId="0" borderId="2" xfId="2" applyBorder="1" applyAlignment="1">
      <alignment horizontal="left"/>
    </xf>
    <xf numFmtId="0" fontId="3" fillId="0" borderId="17" xfId="2" applyBorder="1" applyAlignment="1">
      <alignment horizontal="left"/>
    </xf>
    <xf numFmtId="44" fontId="3" fillId="0" borderId="15" xfId="2" applyNumberFormat="1" applyBorder="1" applyAlignment="1">
      <alignment horizontal="center"/>
    </xf>
    <xf numFmtId="44" fontId="41" fillId="0" borderId="2" xfId="2" applyNumberFormat="1" applyFont="1" applyBorder="1"/>
    <xf numFmtId="44" fontId="42" fillId="0" borderId="14" xfId="2" applyNumberFormat="1" applyFont="1" applyBorder="1" applyAlignment="1">
      <alignment horizontal="center"/>
    </xf>
    <xf numFmtId="44" fontId="3" fillId="0" borderId="27" xfId="2" applyNumberFormat="1" applyBorder="1" applyAlignment="1">
      <alignment horizontal="center"/>
    </xf>
    <xf numFmtId="0" fontId="3" fillId="0" borderId="30" xfId="2" applyBorder="1" applyAlignment="1">
      <alignment horizontal="center"/>
    </xf>
    <xf numFmtId="44" fontId="3" fillId="0" borderId="24" xfId="2" applyNumberFormat="1" applyBorder="1" applyAlignment="1">
      <alignment horizontal="center"/>
    </xf>
    <xf numFmtId="0" fontId="3" fillId="0" borderId="31" xfId="2" applyBorder="1" applyAlignment="1">
      <alignment horizontal="center"/>
    </xf>
    <xf numFmtId="178" fontId="3" fillId="0" borderId="0" xfId="2" applyNumberFormat="1"/>
    <xf numFmtId="44" fontId="43" fillId="0" borderId="0" xfId="2" applyNumberFormat="1" applyFont="1" applyAlignment="1">
      <alignment horizontal="center"/>
    </xf>
    <xf numFmtId="44" fontId="3" fillId="0" borderId="64" xfId="2" applyNumberFormat="1" applyBorder="1"/>
    <xf numFmtId="0" fontId="3" fillId="0" borderId="29" xfId="2" applyBorder="1"/>
    <xf numFmtId="14" fontId="3" fillId="0" borderId="0" xfId="2" applyNumberFormat="1"/>
    <xf numFmtId="10" fontId="3" fillId="0" borderId="0" xfId="2" applyNumberFormat="1"/>
    <xf numFmtId="166" fontId="3" fillId="0" borderId="2" xfId="2" applyNumberFormat="1" applyBorder="1" applyAlignment="1">
      <alignment horizontal="center"/>
    </xf>
    <xf numFmtId="14" fontId="3" fillId="0" borderId="2" xfId="2" applyNumberFormat="1" applyBorder="1" applyAlignment="1">
      <alignment horizontal="center"/>
    </xf>
    <xf numFmtId="201" fontId="3" fillId="0" borderId="2" xfId="2" applyNumberFormat="1" applyBorder="1" applyAlignment="1">
      <alignment horizontal="right"/>
    </xf>
    <xf numFmtId="0" fontId="3" fillId="0" borderId="23" xfId="2" applyBorder="1"/>
    <xf numFmtId="0" fontId="3" fillId="5" borderId="54" xfId="2" applyFill="1" applyBorder="1" applyAlignment="1">
      <alignment horizontal="center"/>
    </xf>
    <xf numFmtId="0" fontId="3" fillId="0" borderId="33" xfId="2" applyBorder="1" applyAlignment="1">
      <alignment horizontal="center"/>
    </xf>
    <xf numFmtId="0" fontId="3" fillId="0" borderId="14" xfId="2" applyBorder="1"/>
    <xf numFmtId="44" fontId="3" fillId="5" borderId="2" xfId="2" applyNumberFormat="1" applyFill="1" applyBorder="1"/>
    <xf numFmtId="0" fontId="44" fillId="2" borderId="2" xfId="2" applyFont="1" applyFill="1" applyBorder="1" applyAlignment="1">
      <alignment horizontal="center"/>
    </xf>
    <xf numFmtId="0" fontId="40" fillId="2" borderId="51" xfId="2" applyFont="1" applyFill="1" applyBorder="1" applyAlignment="1">
      <alignment horizontal="center"/>
    </xf>
    <xf numFmtId="0" fontId="40" fillId="2" borderId="52" xfId="2" applyFont="1" applyFill="1" applyBorder="1" applyAlignment="1">
      <alignment horizontal="center"/>
    </xf>
    <xf numFmtId="0" fontId="3" fillId="4" borderId="2" xfId="2" applyFill="1" applyBorder="1" applyAlignment="1" applyProtection="1">
      <alignment horizontal="center"/>
      <protection locked="0"/>
    </xf>
    <xf numFmtId="0" fontId="45" fillId="4" borderId="55" xfId="2" applyFont="1" applyFill="1" applyBorder="1" applyAlignment="1" applyProtection="1">
      <alignment horizontal="center"/>
      <protection locked="0"/>
    </xf>
    <xf numFmtId="0" fontId="3" fillId="4" borderId="61" xfId="2" applyFill="1" applyBorder="1" applyAlignment="1" applyProtection="1">
      <alignment horizontal="center"/>
      <protection locked="0"/>
    </xf>
    <xf numFmtId="0" fontId="3" fillId="4" borderId="62" xfId="2" applyFill="1" applyBorder="1" applyAlignment="1" applyProtection="1">
      <alignment horizontal="center"/>
      <protection locked="0"/>
    </xf>
    <xf numFmtId="0" fontId="3" fillId="4" borderId="54" xfId="2" applyFill="1" applyBorder="1" applyProtection="1">
      <protection locked="0"/>
    </xf>
    <xf numFmtId="0" fontId="3" fillId="4" borderId="55" xfId="2" applyFill="1" applyBorder="1" applyProtection="1">
      <protection locked="0"/>
    </xf>
    <xf numFmtId="0" fontId="3" fillId="4" borderId="54" xfId="2" applyFill="1" applyBorder="1" applyAlignment="1" applyProtection="1">
      <alignment horizontal="center"/>
      <protection locked="0"/>
    </xf>
    <xf numFmtId="0" fontId="3" fillId="4" borderId="55" xfId="2" applyFill="1" applyBorder="1" applyAlignment="1" applyProtection="1">
      <alignment horizontal="center"/>
      <protection locked="0"/>
    </xf>
    <xf numFmtId="0" fontId="3" fillId="4" borderId="63" xfId="2" applyFill="1" applyBorder="1" applyAlignment="1" applyProtection="1">
      <alignment horizontal="center"/>
      <protection locked="0"/>
    </xf>
    <xf numFmtId="9" fontId="3" fillId="4" borderId="54" xfId="2" applyNumberFormat="1" applyFill="1" applyBorder="1" applyProtection="1">
      <protection locked="0"/>
    </xf>
    <xf numFmtId="10" fontId="3" fillId="4" borderId="2" xfId="2" applyNumberFormat="1" applyFill="1" applyBorder="1" applyAlignment="1" applyProtection="1">
      <alignment horizontal="center"/>
      <protection locked="0"/>
    </xf>
    <xf numFmtId="0" fontId="3" fillId="0" borderId="30" xfId="2" applyBorder="1"/>
    <xf numFmtId="44" fontId="3" fillId="4" borderId="54" xfId="2" applyNumberFormat="1" applyFill="1" applyBorder="1" applyAlignment="1" applyProtection="1">
      <alignment horizontal="center"/>
      <protection locked="0"/>
    </xf>
    <xf numFmtId="166" fontId="40" fillId="5" borderId="54" xfId="2" applyNumberFormat="1" applyFont="1" applyFill="1" applyBorder="1" applyAlignment="1">
      <alignment horizontal="center"/>
    </xf>
    <xf numFmtId="180" fontId="3" fillId="5" borderId="2" xfId="2" applyNumberFormat="1" applyFill="1" applyBorder="1" applyAlignment="1">
      <alignment horizontal="center"/>
    </xf>
    <xf numFmtId="49" fontId="0" fillId="2" borderId="2" xfId="0" applyNumberFormat="1" applyFill="1" applyBorder="1"/>
    <xf numFmtId="0" fontId="6" fillId="0" borderId="0" xfId="0" applyFont="1" applyProtection="1">
      <protection locked="0"/>
    </xf>
    <xf numFmtId="0" fontId="48" fillId="0" borderId="5" xfId="0" applyFont="1" applyBorder="1" applyAlignment="1">
      <alignment horizontal="center" vertical="center"/>
    </xf>
    <xf numFmtId="0" fontId="0" fillId="0" borderId="6" xfId="0" applyBorder="1"/>
    <xf numFmtId="0" fontId="48" fillId="0" borderId="7" xfId="0" applyFont="1" applyBorder="1" applyAlignment="1">
      <alignment horizontal="center" vertical="center"/>
    </xf>
    <xf numFmtId="0" fontId="0" fillId="0" borderId="7" xfId="0" applyBorder="1"/>
    <xf numFmtId="0" fontId="14" fillId="0" borderId="0" xfId="0" applyFont="1"/>
    <xf numFmtId="0" fontId="0" fillId="0" borderId="5" xfId="0" applyBorder="1"/>
    <xf numFmtId="0" fontId="49" fillId="0" borderId="0" xfId="0" applyFont="1"/>
    <xf numFmtId="0" fontId="49" fillId="0" borderId="6" xfId="0" applyFont="1" applyBorder="1"/>
    <xf numFmtId="0" fontId="0" fillId="2" borderId="24" xfId="0" applyFill="1" applyBorder="1"/>
    <xf numFmtId="0" fontId="0" fillId="2" borderId="65" xfId="0" applyFill="1" applyBorder="1" applyProtection="1">
      <protection locked="0"/>
    </xf>
    <xf numFmtId="0" fontId="15" fillId="2" borderId="72" xfId="0" applyFont="1" applyFill="1" applyBorder="1" applyProtection="1">
      <protection locked="0"/>
    </xf>
    <xf numFmtId="0" fontId="15" fillId="2" borderId="65" xfId="0" applyFont="1" applyFill="1" applyBorder="1" applyProtection="1">
      <protection locked="0"/>
    </xf>
    <xf numFmtId="0" fontId="0" fillId="2" borderId="74" xfId="0" applyFill="1" applyBorder="1" applyProtection="1">
      <protection locked="0"/>
    </xf>
    <xf numFmtId="0" fontId="0" fillId="0" borderId="26" xfId="0" applyBorder="1" applyProtection="1">
      <protection locked="0"/>
    </xf>
    <xf numFmtId="0" fontId="0" fillId="2" borderId="2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8" borderId="2" xfId="0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0" borderId="21" xfId="0" applyBorder="1"/>
    <xf numFmtId="1" fontId="0" fillId="0" borderId="20" xfId="0" applyNumberFormat="1" applyBorder="1"/>
    <xf numFmtId="0" fontId="0" fillId="0" borderId="53" xfId="0" applyBorder="1"/>
    <xf numFmtId="1" fontId="0" fillId="0" borderId="16" xfId="0" applyNumberFormat="1" applyBorder="1"/>
    <xf numFmtId="0" fontId="0" fillId="0" borderId="20" xfId="0" applyBorder="1"/>
    <xf numFmtId="0" fontId="0" fillId="0" borderId="26" xfId="0" applyBorder="1"/>
    <xf numFmtId="1" fontId="0" fillId="0" borderId="2" xfId="0" applyNumberFormat="1" applyBorder="1"/>
    <xf numFmtId="0" fontId="0" fillId="0" borderId="25" xfId="0" applyBorder="1"/>
    <xf numFmtId="0" fontId="0" fillId="0" borderId="66" xfId="0" applyBorder="1"/>
    <xf numFmtId="0" fontId="0" fillId="0" borderId="54" xfId="0" applyBorder="1"/>
    <xf numFmtId="0" fontId="0" fillId="0" borderId="69" xfId="0" applyBorder="1"/>
    <xf numFmtId="10" fontId="0" fillId="14" borderId="54" xfId="0" applyNumberFormat="1" applyFill="1" applyBorder="1"/>
    <xf numFmtId="178" fontId="0" fillId="0" borderId="69" xfId="0" applyNumberFormat="1" applyBorder="1"/>
    <xf numFmtId="0" fontId="0" fillId="0" borderId="19" xfId="0" applyBorder="1"/>
    <xf numFmtId="0" fontId="0" fillId="0" borderId="18" xfId="0" applyBorder="1"/>
    <xf numFmtId="0" fontId="0" fillId="0" borderId="56" xfId="0" applyBorder="1"/>
    <xf numFmtId="0" fontId="0" fillId="0" borderId="8" xfId="0" applyBorder="1"/>
    <xf numFmtId="0" fontId="0" fillId="0" borderId="9" xfId="0" applyBorder="1"/>
    <xf numFmtId="202" fontId="0" fillId="0" borderId="0" xfId="0" applyNumberFormat="1"/>
    <xf numFmtId="202" fontId="1" fillId="0" borderId="0" xfId="0" applyNumberFormat="1" applyFont="1"/>
    <xf numFmtId="203" fontId="0" fillId="0" borderId="0" xfId="0" applyNumberFormat="1"/>
    <xf numFmtId="49" fontId="0" fillId="0" borderId="0" xfId="0" applyNumberFormat="1"/>
    <xf numFmtId="204" fontId="0" fillId="14" borderId="2" xfId="0" applyNumberFormat="1" applyFill="1" applyBorder="1" applyAlignment="1">
      <alignment horizontal="center"/>
    </xf>
    <xf numFmtId="49" fontId="0" fillId="2" borderId="75" xfId="0" applyNumberFormat="1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49" fontId="1" fillId="2" borderId="61" xfId="0" applyNumberFormat="1" applyFont="1" applyFill="1" applyBorder="1" applyAlignment="1">
      <alignment horizontal="center"/>
    </xf>
    <xf numFmtId="0" fontId="1" fillId="2" borderId="2" xfId="0" applyFont="1" applyFill="1" applyBorder="1"/>
    <xf numFmtId="0" fontId="0" fillId="0" borderId="2" xfId="0" applyBorder="1" applyAlignment="1">
      <alignment horizontal="center"/>
    </xf>
    <xf numFmtId="180" fontId="0" fillId="0" borderId="2" xfId="0" applyNumberFormat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16" borderId="2" xfId="0" applyFill="1" applyBorder="1"/>
    <xf numFmtId="0" fontId="0" fillId="14" borderId="2" xfId="0" applyFill="1" applyBorder="1" applyAlignment="1">
      <alignment horizontal="center"/>
    </xf>
    <xf numFmtId="49" fontId="0" fillId="14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16" borderId="0" xfId="0" applyFill="1"/>
    <xf numFmtId="2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0" fillId="6" borderId="29" xfId="0" applyFill="1" applyBorder="1" applyProtection="1">
      <protection locked="0"/>
    </xf>
    <xf numFmtId="0" fontId="0" fillId="6" borderId="65" xfId="0" applyFill="1" applyBorder="1" applyProtection="1">
      <protection locked="0"/>
    </xf>
    <xf numFmtId="0" fontId="0" fillId="6" borderId="71" xfId="0" applyFill="1" applyBorder="1"/>
    <xf numFmtId="0" fontId="0" fillId="6" borderId="73" xfId="0" applyFill="1" applyBorder="1" applyProtection="1">
      <protection locked="0"/>
    </xf>
    <xf numFmtId="0" fontId="0" fillId="6" borderId="70" xfId="0" applyFill="1" applyBorder="1" applyProtection="1">
      <protection locked="0"/>
    </xf>
    <xf numFmtId="8" fontId="0" fillId="2" borderId="0" xfId="0" applyNumberFormat="1" applyFill="1" applyAlignment="1">
      <alignment horizontal="left"/>
    </xf>
    <xf numFmtId="180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165" fontId="0" fillId="2" borderId="0" xfId="0" applyNumberFormat="1" applyFill="1"/>
    <xf numFmtId="44" fontId="0" fillId="2" borderId="2" xfId="0" applyNumberForma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 vertical="center"/>
    </xf>
    <xf numFmtId="166" fontId="0" fillId="5" borderId="17" xfId="0" applyNumberFormat="1" applyFill="1" applyBorder="1" applyAlignment="1" applyProtection="1">
      <alignment horizontal="center"/>
      <protection locked="0"/>
    </xf>
    <xf numFmtId="166" fontId="0" fillId="5" borderId="16" xfId="0" applyNumberFormat="1" applyFill="1" applyBorder="1" applyAlignment="1" applyProtection="1">
      <alignment horizontal="center"/>
      <protection locked="0"/>
    </xf>
    <xf numFmtId="166" fontId="0" fillId="5" borderId="15" xfId="0" applyNumberFormat="1" applyFill="1" applyBorder="1" applyAlignment="1" applyProtection="1">
      <alignment horizontal="center"/>
      <protection locked="0"/>
    </xf>
    <xf numFmtId="0" fontId="36" fillId="0" borderId="17" xfId="0" applyFont="1" applyBorder="1" applyAlignment="1" applyProtection="1">
      <alignment horizontal="center" vertical="center"/>
      <protection locked="0" hidden="1"/>
    </xf>
    <xf numFmtId="0" fontId="36" fillId="0" borderId="16" xfId="0" applyFont="1" applyBorder="1" applyAlignment="1" applyProtection="1">
      <alignment horizontal="center" vertical="center"/>
      <protection locked="0" hidden="1"/>
    </xf>
    <xf numFmtId="0" fontId="36" fillId="0" borderId="15" xfId="0" applyFont="1" applyBorder="1" applyAlignment="1" applyProtection="1">
      <alignment horizontal="center" vertical="center"/>
      <protection locked="0" hidden="1"/>
    </xf>
    <xf numFmtId="164" fontId="0" fillId="9" borderId="2" xfId="0" applyNumberFormat="1" applyFill="1" applyBorder="1" applyAlignment="1">
      <alignment horizontal="center"/>
    </xf>
    <xf numFmtId="0" fontId="4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31" fillId="2" borderId="17" xfId="0" applyFont="1" applyFill="1" applyBorder="1" applyAlignment="1" applyProtection="1">
      <alignment horizontal="center"/>
      <protection locked="0"/>
    </xf>
    <xf numFmtId="0" fontId="31" fillId="2" borderId="15" xfId="0" applyFont="1" applyFill="1" applyBorder="1" applyAlignment="1" applyProtection="1">
      <alignment horizontal="center"/>
      <protection locked="0"/>
    </xf>
    <xf numFmtId="195" fontId="0" fillId="5" borderId="27" xfId="0" applyNumberFormat="1" applyFill="1" applyBorder="1" applyAlignment="1">
      <alignment horizontal="center"/>
    </xf>
    <xf numFmtId="169" fontId="0" fillId="11" borderId="2" xfId="0" applyNumberFormat="1" applyFill="1" applyBorder="1" applyAlignment="1" applyProtection="1">
      <alignment horizontal="center"/>
      <protection locked="0"/>
    </xf>
    <xf numFmtId="0" fontId="0" fillId="11" borderId="2" xfId="0" applyFill="1" applyBorder="1" applyAlignment="1" applyProtection="1">
      <alignment horizontal="center"/>
      <protection locked="0"/>
    </xf>
    <xf numFmtId="164" fontId="0" fillId="5" borderId="2" xfId="0" applyNumberFormat="1" applyFill="1" applyBorder="1" applyAlignment="1">
      <alignment horizontal="center"/>
    </xf>
    <xf numFmtId="168" fontId="0" fillId="4" borderId="2" xfId="0" applyNumberFormat="1" applyFill="1" applyBorder="1" applyAlignment="1" applyProtection="1">
      <alignment horizontal="center"/>
      <protection locked="0"/>
    </xf>
    <xf numFmtId="171" fontId="0" fillId="4" borderId="2" xfId="0" applyNumberFormat="1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180" fontId="0" fillId="4" borderId="2" xfId="0" applyNumberFormat="1" applyFill="1" applyBorder="1" applyAlignment="1" applyProtection="1">
      <alignment horizontal="center"/>
      <protection locked="0"/>
    </xf>
    <xf numFmtId="44" fontId="33" fillId="0" borderId="1" xfId="0" applyNumberFormat="1" applyFont="1" applyBorder="1" applyAlignment="1" applyProtection="1">
      <alignment horizontal="center" vertical="center"/>
      <protection locked="0"/>
    </xf>
    <xf numFmtId="44" fontId="33" fillId="0" borderId="0" xfId="0" applyNumberFormat="1" applyFont="1" applyAlignment="1" applyProtection="1">
      <alignment horizontal="center" vertical="center"/>
      <protection locked="0"/>
    </xf>
    <xf numFmtId="44" fontId="33" fillId="0" borderId="31" xfId="0" applyNumberFormat="1" applyFont="1" applyBorder="1" applyAlignment="1" applyProtection="1">
      <alignment horizontal="center" vertical="center"/>
      <protection locked="0"/>
    </xf>
    <xf numFmtId="44" fontId="33" fillId="0" borderId="23" xfId="0" applyNumberFormat="1" applyFont="1" applyBorder="1" applyAlignment="1" applyProtection="1">
      <alignment horizontal="center" vertical="center"/>
      <protection locked="0"/>
    </xf>
    <xf numFmtId="0" fontId="11" fillId="6" borderId="17" xfId="0" applyFont="1" applyFill="1" applyBorder="1" applyAlignment="1" applyProtection="1">
      <alignment horizontal="center" vertical="center"/>
      <protection locked="0"/>
    </xf>
    <xf numFmtId="0" fontId="11" fillId="6" borderId="16" xfId="0" applyFont="1" applyFill="1" applyBorder="1" applyAlignment="1" applyProtection="1">
      <alignment horizontal="center" vertical="center"/>
      <protection locked="0"/>
    </xf>
    <xf numFmtId="0" fontId="11" fillId="6" borderId="15" xfId="0" applyFont="1" applyFill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6" fillId="2" borderId="17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14" fillId="2" borderId="2" xfId="0" applyFont="1" applyFill="1" applyBorder="1" applyAlignment="1" applyProtection="1">
      <alignment horizontal="center"/>
      <protection locked="0"/>
    </xf>
    <xf numFmtId="0" fontId="14" fillId="2" borderId="16" xfId="0" applyFont="1" applyFill="1" applyBorder="1" applyAlignment="1" applyProtection="1">
      <alignment horizontal="center"/>
      <protection locked="0"/>
    </xf>
    <xf numFmtId="0" fontId="14" fillId="2" borderId="15" xfId="0" applyFont="1" applyFill="1" applyBorder="1" applyAlignment="1" applyProtection="1">
      <alignment horizontal="center"/>
      <protection locked="0"/>
    </xf>
    <xf numFmtId="191" fontId="0" fillId="9" borderId="17" xfId="0" applyNumberFormat="1" applyFill="1" applyBorder="1" applyAlignment="1">
      <alignment horizontal="center"/>
    </xf>
    <xf numFmtId="191" fontId="0" fillId="9" borderId="16" xfId="0" applyNumberFormat="1" applyFill="1" applyBorder="1" applyAlignment="1">
      <alignment horizontal="center"/>
    </xf>
    <xf numFmtId="191" fontId="0" fillId="9" borderId="15" xfId="0" applyNumberForma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66" fontId="6" fillId="6" borderId="17" xfId="0" applyNumberFormat="1" applyFont="1" applyFill="1" applyBorder="1" applyAlignment="1">
      <alignment horizontal="center"/>
    </xf>
    <xf numFmtId="166" fontId="6" fillId="6" borderId="16" xfId="0" applyNumberFormat="1" applyFont="1" applyFill="1" applyBorder="1" applyAlignment="1">
      <alignment horizontal="center"/>
    </xf>
    <xf numFmtId="166" fontId="6" fillId="6" borderId="15" xfId="0" applyNumberFormat="1" applyFont="1" applyFill="1" applyBorder="1" applyAlignment="1">
      <alignment horizontal="center"/>
    </xf>
    <xf numFmtId="164" fontId="0" fillId="4" borderId="2" xfId="0" applyNumberFormat="1" applyFill="1" applyBorder="1" applyAlignment="1" applyProtection="1">
      <alignment horizontal="center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6" borderId="26" xfId="0" applyFill="1" applyBorder="1" applyAlignment="1" applyProtection="1">
      <alignment horizontal="center"/>
      <protection locked="0"/>
    </xf>
    <xf numFmtId="0" fontId="0" fillId="6" borderId="20" xfId="0" applyFill="1" applyBorder="1" applyAlignment="1" applyProtection="1">
      <alignment horizontal="center"/>
      <protection locked="0"/>
    </xf>
    <xf numFmtId="0" fontId="0" fillId="6" borderId="21" xfId="0" applyFill="1" applyBorder="1" applyAlignment="1" applyProtection="1">
      <alignment horizontal="center"/>
      <protection locked="0"/>
    </xf>
    <xf numFmtId="165" fontId="0" fillId="5" borderId="2" xfId="0" applyNumberFormat="1" applyFill="1" applyBorder="1" applyAlignment="1">
      <alignment horizontal="center"/>
    </xf>
    <xf numFmtId="195" fontId="0" fillId="9" borderId="2" xfId="0" applyNumberFormat="1" applyFill="1" applyBorder="1" applyAlignment="1">
      <alignment horizontal="center"/>
    </xf>
    <xf numFmtId="0" fontId="12" fillId="2" borderId="25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0" fillId="6" borderId="25" xfId="0" applyFill="1" applyBorder="1" applyAlignment="1" applyProtection="1">
      <alignment horizontal="center"/>
      <protection locked="0"/>
    </xf>
    <xf numFmtId="197" fontId="0" fillId="4" borderId="2" xfId="0" applyNumberFormat="1" applyFill="1" applyBorder="1" applyAlignment="1" applyProtection="1">
      <alignment horizontal="center"/>
      <protection locked="0"/>
    </xf>
    <xf numFmtId="195" fontId="0" fillId="5" borderId="2" xfId="0" applyNumberFormat="1" applyFill="1" applyBorder="1" applyAlignment="1">
      <alignment horizontal="center"/>
    </xf>
    <xf numFmtId="199" fontId="0" fillId="5" borderId="2" xfId="0" applyNumberFormat="1" applyFill="1" applyBorder="1" applyAlignment="1">
      <alignment horizontal="center"/>
    </xf>
    <xf numFmtId="0" fontId="0" fillId="6" borderId="25" xfId="0" applyFill="1" applyBorder="1" applyAlignment="1" applyProtection="1">
      <alignment horizontal="left"/>
      <protection locked="0"/>
    </xf>
    <xf numFmtId="0" fontId="0" fillId="6" borderId="2" xfId="0" applyFill="1" applyBorder="1" applyAlignment="1" applyProtection="1">
      <alignment horizontal="left"/>
      <protection locked="0"/>
    </xf>
    <xf numFmtId="0" fontId="0" fillId="6" borderId="53" xfId="0" applyFill="1" applyBorder="1" applyAlignment="1" applyProtection="1">
      <alignment horizontal="left"/>
      <protection locked="0"/>
    </xf>
    <xf numFmtId="0" fontId="0" fillId="6" borderId="20" xfId="0" applyFill="1" applyBorder="1" applyAlignment="1" applyProtection="1">
      <alignment horizontal="left"/>
      <protection locked="0"/>
    </xf>
    <xf numFmtId="171" fontId="6" fillId="4" borderId="17" xfId="0" applyNumberFormat="1" applyFont="1" applyFill="1" applyBorder="1" applyAlignment="1">
      <alignment horizontal="center"/>
    </xf>
    <xf numFmtId="171" fontId="6" fillId="4" borderId="16" xfId="0" applyNumberFormat="1" applyFont="1" applyFill="1" applyBorder="1" applyAlignment="1">
      <alignment horizontal="center"/>
    </xf>
    <xf numFmtId="171" fontId="6" fillId="4" borderId="15" xfId="0" applyNumberFormat="1" applyFont="1" applyFill="1" applyBorder="1" applyAlignment="1">
      <alignment horizontal="center"/>
    </xf>
    <xf numFmtId="164" fontId="0" fillId="4" borderId="17" xfId="0" applyNumberFormat="1" applyFill="1" applyBorder="1" applyAlignment="1" applyProtection="1">
      <alignment horizontal="center"/>
      <protection locked="0"/>
    </xf>
    <xf numFmtId="164" fontId="0" fillId="4" borderId="16" xfId="0" applyNumberFormat="1" applyFill="1" applyBorder="1" applyAlignment="1" applyProtection="1">
      <alignment horizontal="center"/>
      <protection locked="0"/>
    </xf>
    <xf numFmtId="164" fontId="0" fillId="4" borderId="15" xfId="0" applyNumberFormat="1" applyFill="1" applyBorder="1" applyAlignment="1" applyProtection="1">
      <alignment horizontal="center"/>
      <protection locked="0"/>
    </xf>
    <xf numFmtId="185" fontId="0" fillId="9" borderId="2" xfId="0" applyNumberForma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28" xfId="0" applyFont="1" applyBorder="1" applyAlignment="1">
      <alignment horizontal="center" vertical="center" textRotation="90"/>
    </xf>
    <xf numFmtId="0" fontId="4" fillId="0" borderId="30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4" fillId="0" borderId="33" xfId="0" applyFont="1" applyBorder="1" applyAlignment="1">
      <alignment horizontal="center" vertical="center" textRotation="90"/>
    </xf>
    <xf numFmtId="0" fontId="4" fillId="0" borderId="31" xfId="0" applyFont="1" applyBorder="1" applyAlignment="1">
      <alignment horizontal="center" vertical="center" textRotation="90"/>
    </xf>
    <xf numFmtId="0" fontId="4" fillId="0" borderId="32" xfId="0" applyFont="1" applyBorder="1" applyAlignment="1">
      <alignment horizontal="center" vertical="center" textRotation="90"/>
    </xf>
    <xf numFmtId="165" fontId="0" fillId="0" borderId="23" xfId="0" applyNumberFormat="1" applyBorder="1" applyAlignment="1" applyProtection="1">
      <alignment horizontal="left" vertical="center"/>
      <protection locked="0"/>
    </xf>
    <xf numFmtId="1" fontId="26" fillId="0" borderId="2" xfId="0" applyNumberFormat="1" applyFont="1" applyBorder="1" applyAlignment="1">
      <alignment horizontal="center" vertical="center"/>
    </xf>
    <xf numFmtId="175" fontId="6" fillId="2" borderId="28" xfId="0" applyNumberFormat="1" applyFont="1" applyFill="1" applyBorder="1" applyAlignment="1">
      <alignment horizontal="center" vertical="center" textRotation="90"/>
    </xf>
    <xf numFmtId="175" fontId="6" fillId="2" borderId="1" xfId="0" applyNumberFormat="1" applyFont="1" applyFill="1" applyBorder="1" applyAlignment="1">
      <alignment horizontal="center" vertical="center" textRotation="90"/>
    </xf>
    <xf numFmtId="175" fontId="6" fillId="2" borderId="31" xfId="0" applyNumberFormat="1" applyFont="1" applyFill="1" applyBorder="1" applyAlignment="1">
      <alignment horizontal="center" vertical="center" textRotation="90"/>
    </xf>
    <xf numFmtId="170" fontId="1" fillId="5" borderId="24" xfId="0" applyNumberFormat="1" applyFont="1" applyFill="1" applyBorder="1" applyAlignment="1">
      <alignment horizontal="left"/>
    </xf>
    <xf numFmtId="168" fontId="1" fillId="4" borderId="34" xfId="0" applyNumberFormat="1" applyFont="1" applyFill="1" applyBorder="1" applyAlignment="1" applyProtection="1">
      <alignment horizontal="left"/>
      <protection locked="0"/>
    </xf>
    <xf numFmtId="168" fontId="1" fillId="4" borderId="35" xfId="0" applyNumberFormat="1" applyFont="1" applyFill="1" applyBorder="1" applyAlignment="1" applyProtection="1">
      <alignment horizontal="left"/>
      <protection locked="0"/>
    </xf>
    <xf numFmtId="168" fontId="1" fillId="4" borderId="36" xfId="0" applyNumberFormat="1" applyFont="1" applyFill="1" applyBorder="1" applyAlignment="1" applyProtection="1">
      <alignment horizontal="left"/>
      <protection locked="0"/>
    </xf>
    <xf numFmtId="167" fontId="1" fillId="4" borderId="40" xfId="0" applyNumberFormat="1" applyFont="1" applyFill="1" applyBorder="1" applyAlignment="1" applyProtection="1">
      <alignment horizontal="left"/>
      <protection locked="0"/>
    </xf>
    <xf numFmtId="167" fontId="1" fillId="4" borderId="41" xfId="0" applyNumberFormat="1" applyFont="1" applyFill="1" applyBorder="1" applyAlignment="1" applyProtection="1">
      <alignment horizontal="left"/>
      <protection locked="0"/>
    </xf>
    <xf numFmtId="167" fontId="1" fillId="4" borderId="42" xfId="0" applyNumberFormat="1" applyFont="1" applyFill="1" applyBorder="1" applyAlignment="1" applyProtection="1">
      <alignment horizontal="left"/>
      <protection locked="0"/>
    </xf>
    <xf numFmtId="169" fontId="1" fillId="3" borderId="27" xfId="0" applyNumberFormat="1" applyFont="1" applyFill="1" applyBorder="1" applyAlignment="1">
      <alignment horizontal="left"/>
    </xf>
    <xf numFmtId="0" fontId="0" fillId="6" borderId="17" xfId="0" applyFill="1" applyBorder="1" applyAlignment="1" applyProtection="1">
      <alignment horizontal="center"/>
      <protection locked="0"/>
    </xf>
    <xf numFmtId="0" fontId="0" fillId="6" borderId="16" xfId="0" applyFill="1" applyBorder="1" applyAlignment="1" applyProtection="1">
      <alignment horizontal="center"/>
      <protection locked="0"/>
    </xf>
    <xf numFmtId="0" fontId="0" fillId="6" borderId="15" xfId="0" applyFill="1" applyBorder="1" applyAlignment="1" applyProtection="1">
      <alignment horizontal="center"/>
      <protection locked="0"/>
    </xf>
    <xf numFmtId="0" fontId="1" fillId="2" borderId="2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2" borderId="27" xfId="0" applyFont="1" applyFill="1" applyBorder="1" applyAlignment="1">
      <alignment horizontal="center"/>
    </xf>
    <xf numFmtId="15" fontId="11" fillId="6" borderId="24" xfId="0" applyNumberFormat="1" applyFont="1" applyFill="1" applyBorder="1" applyAlignment="1" applyProtection="1">
      <alignment horizontal="center" vertical="center"/>
      <protection locked="0"/>
    </xf>
    <xf numFmtId="183" fontId="16" fillId="2" borderId="56" xfId="0" applyNumberFormat="1" applyFont="1" applyFill="1" applyBorder="1" applyAlignment="1">
      <alignment horizontal="center" vertical="center"/>
    </xf>
    <xf numFmtId="183" fontId="16" fillId="2" borderId="18" xfId="0" applyNumberFormat="1" applyFont="1" applyFill="1" applyBorder="1" applyAlignment="1">
      <alignment horizontal="center" vertical="center"/>
    </xf>
    <xf numFmtId="183" fontId="16" fillId="2" borderId="19" xfId="0" applyNumberFormat="1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171" fontId="0" fillId="0" borderId="0" xfId="0" applyNumberFormat="1" applyAlignment="1">
      <alignment horizontal="center"/>
    </xf>
    <xf numFmtId="0" fontId="0" fillId="6" borderId="29" xfId="0" applyFill="1" applyBorder="1" applyAlignment="1" applyProtection="1">
      <alignment horizontal="center"/>
      <protection locked="0"/>
    </xf>
    <xf numFmtId="183" fontId="0" fillId="2" borderId="53" xfId="0" applyNumberFormat="1" applyFill="1" applyBorder="1" applyAlignment="1">
      <alignment horizontal="center" vertical="center"/>
    </xf>
    <xf numFmtId="183" fontId="0" fillId="2" borderId="20" xfId="0" applyNumberFormat="1" applyFill="1" applyBorder="1" applyAlignment="1">
      <alignment horizontal="center" vertical="center"/>
    </xf>
    <xf numFmtId="183" fontId="0" fillId="2" borderId="25" xfId="0" applyNumberFormat="1" applyFill="1" applyBorder="1" applyAlignment="1">
      <alignment horizontal="center" vertical="center"/>
    </xf>
    <xf numFmtId="183" fontId="0" fillId="2" borderId="2" xfId="0" applyNumberFormat="1" applyFill="1" applyBorder="1" applyAlignment="1">
      <alignment horizontal="center" vertical="center"/>
    </xf>
    <xf numFmtId="183" fontId="16" fillId="2" borderId="68" xfId="0" applyNumberFormat="1" applyFont="1" applyFill="1" applyBorder="1" applyAlignment="1">
      <alignment horizontal="center" vertical="center"/>
    </xf>
    <xf numFmtId="183" fontId="16" fillId="2" borderId="51" xfId="0" applyNumberFormat="1" applyFont="1" applyFill="1" applyBorder="1" applyAlignment="1">
      <alignment horizontal="center" vertical="center"/>
    </xf>
    <xf numFmtId="183" fontId="16" fillId="2" borderId="52" xfId="0" applyNumberFormat="1" applyFont="1" applyFill="1" applyBorder="1" applyAlignment="1">
      <alignment horizontal="center" vertical="center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16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189" fontId="0" fillId="4" borderId="2" xfId="0" applyNumberFormat="1" applyFill="1" applyBorder="1" applyAlignment="1" applyProtection="1">
      <alignment horizontal="center"/>
      <protection locked="0"/>
    </xf>
    <xf numFmtId="195" fontId="0" fillId="5" borderId="2" xfId="0" applyNumberFormat="1" applyFill="1" applyBorder="1" applyAlignment="1" applyProtection="1">
      <alignment horizontal="center"/>
      <protection locked="0"/>
    </xf>
    <xf numFmtId="196" fontId="0" fillId="5" borderId="2" xfId="0" applyNumberFormat="1" applyFill="1" applyBorder="1" applyAlignment="1">
      <alignment horizontal="center"/>
    </xf>
    <xf numFmtId="165" fontId="0" fillId="8" borderId="2" xfId="0" applyNumberFormat="1" applyFill="1" applyBorder="1" applyAlignment="1" applyProtection="1">
      <alignment horizontal="center" vertical="center"/>
      <protection locked="0"/>
    </xf>
    <xf numFmtId="169" fontId="0" fillId="0" borderId="15" xfId="0" applyNumberForma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15" fillId="2" borderId="17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172" fontId="30" fillId="6" borderId="37" xfId="0" applyNumberFormat="1" applyFont="1" applyFill="1" applyBorder="1" applyAlignment="1" applyProtection="1">
      <alignment horizontal="center" vertical="center"/>
      <protection locked="0"/>
    </xf>
    <xf numFmtId="172" fontId="30" fillId="6" borderId="38" xfId="0" applyNumberFormat="1" applyFont="1" applyFill="1" applyBorder="1" applyAlignment="1" applyProtection="1">
      <alignment horizontal="center" vertical="center"/>
      <protection locked="0"/>
    </xf>
    <xf numFmtId="172" fontId="30" fillId="6" borderId="39" xfId="0" applyNumberFormat="1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6" borderId="49" xfId="0" applyFill="1" applyBorder="1" applyAlignment="1" applyProtection="1">
      <alignment horizontal="left"/>
      <protection locked="0"/>
    </xf>
    <xf numFmtId="0" fontId="0" fillId="6" borderId="16" xfId="0" applyFill="1" applyBorder="1" applyAlignment="1" applyProtection="1">
      <alignment horizontal="left"/>
      <protection locked="0"/>
    </xf>
    <xf numFmtId="0" fontId="0" fillId="6" borderId="15" xfId="0" applyFill="1" applyBorder="1" applyAlignment="1" applyProtection="1">
      <alignment horizontal="left"/>
      <protection locked="0"/>
    </xf>
    <xf numFmtId="0" fontId="0" fillId="0" borderId="76" xfId="0" applyBorder="1" applyAlignment="1" applyProtection="1">
      <alignment horizontal="center"/>
      <protection locked="0"/>
    </xf>
    <xf numFmtId="165" fontId="6" fillId="2" borderId="2" xfId="0" applyNumberFormat="1" applyFont="1" applyFill="1" applyBorder="1" applyAlignment="1">
      <alignment horizontal="center"/>
    </xf>
    <xf numFmtId="165" fontId="0" fillId="7" borderId="2" xfId="0" applyNumberFormat="1" applyFill="1" applyBorder="1" applyAlignment="1" applyProtection="1">
      <alignment horizontal="center" vertical="center"/>
      <protection locked="0"/>
    </xf>
    <xf numFmtId="168" fontId="47" fillId="4" borderId="2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95" fontId="0" fillId="6" borderId="43" xfId="0" applyNumberFormat="1" applyFill="1" applyBorder="1" applyAlignment="1" applyProtection="1">
      <alignment horizontal="center"/>
      <protection locked="0"/>
    </xf>
    <xf numFmtId="195" fontId="0" fillId="6" borderId="44" xfId="0" applyNumberFormat="1" applyFill="1" applyBorder="1" applyAlignment="1" applyProtection="1">
      <alignment horizontal="center"/>
      <protection locked="0"/>
    </xf>
    <xf numFmtId="195" fontId="0" fillId="6" borderId="45" xfId="0" applyNumberFormat="1" applyFill="1" applyBorder="1" applyAlignment="1" applyProtection="1">
      <alignment horizontal="center"/>
      <protection locked="0"/>
    </xf>
    <xf numFmtId="0" fontId="32" fillId="2" borderId="17" xfId="0" applyFont="1" applyFill="1" applyBorder="1" applyAlignment="1" applyProtection="1">
      <alignment horizontal="center"/>
      <protection locked="0"/>
    </xf>
    <xf numFmtId="0" fontId="32" fillId="2" borderId="15" xfId="0" applyFont="1" applyFill="1" applyBorder="1" applyAlignment="1" applyProtection="1">
      <alignment horizontal="center"/>
      <protection locked="0"/>
    </xf>
    <xf numFmtId="164" fontId="0" fillId="0" borderId="2" xfId="0" applyNumberFormat="1" applyBorder="1" applyAlignment="1">
      <alignment horizontal="center"/>
    </xf>
    <xf numFmtId="169" fontId="0" fillId="5" borderId="2" xfId="0" applyNumberFormat="1" applyFill="1" applyBorder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6" fillId="5" borderId="17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57" xfId="0" applyFill="1" applyBorder="1" applyAlignment="1">
      <alignment horizontal="center"/>
    </xf>
    <xf numFmtId="0" fontId="6" fillId="2" borderId="56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1" fontId="11" fillId="6" borderId="2" xfId="0" applyNumberFormat="1" applyFont="1" applyFill="1" applyBorder="1" applyAlignment="1" applyProtection="1">
      <alignment horizontal="center" vertical="center"/>
      <protection locked="0"/>
    </xf>
    <xf numFmtId="1" fontId="11" fillId="6" borderId="20" xfId="0" applyNumberFormat="1" applyFont="1" applyFill="1" applyBorder="1" applyAlignment="1" applyProtection="1">
      <alignment horizontal="center" vertical="center"/>
      <protection locked="0"/>
    </xf>
    <xf numFmtId="1" fontId="11" fillId="6" borderId="18" xfId="0" applyNumberFormat="1" applyFont="1" applyFill="1" applyBorder="1" applyAlignment="1" applyProtection="1">
      <alignment horizontal="center" vertical="center"/>
      <protection locked="0"/>
    </xf>
    <xf numFmtId="0" fontId="0" fillId="6" borderId="53" xfId="0" applyFill="1" applyBorder="1" applyAlignment="1" applyProtection="1">
      <alignment horizontal="center"/>
      <protection locked="0"/>
    </xf>
    <xf numFmtId="0" fontId="6" fillId="2" borderId="2" xfId="0" applyFont="1" applyFill="1" applyBorder="1" applyAlignment="1">
      <alignment horizontal="center" vertical="center"/>
    </xf>
    <xf numFmtId="183" fontId="11" fillId="2" borderId="2" xfId="0" applyNumberFormat="1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190" fontId="0" fillId="6" borderId="34" xfId="0" applyNumberFormat="1" applyFill="1" applyBorder="1" applyAlignment="1">
      <alignment horizontal="center" vertical="center"/>
    </xf>
    <xf numFmtId="190" fontId="0" fillId="6" borderId="35" xfId="0" applyNumberFormat="1" applyFill="1" applyBorder="1" applyAlignment="1">
      <alignment horizontal="center" vertical="center"/>
    </xf>
    <xf numFmtId="190" fontId="0" fillId="6" borderId="36" xfId="0" applyNumberForma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 wrapText="1"/>
    </xf>
    <xf numFmtId="0" fontId="0" fillId="6" borderId="17" xfId="0" applyFill="1" applyBorder="1" applyAlignment="1" applyProtection="1">
      <alignment horizontal="center" vertical="center"/>
      <protection locked="0"/>
    </xf>
    <xf numFmtId="0" fontId="0" fillId="6" borderId="16" xfId="0" applyFill="1" applyBorder="1" applyAlignment="1" applyProtection="1">
      <alignment horizontal="center" vertical="center"/>
      <protection locked="0"/>
    </xf>
    <xf numFmtId="0" fontId="0" fillId="6" borderId="15" xfId="0" applyFill="1" applyBorder="1" applyAlignment="1" applyProtection="1">
      <alignment horizontal="center" vertical="center"/>
      <protection locked="0"/>
    </xf>
    <xf numFmtId="0" fontId="0" fillId="6" borderId="18" xfId="0" applyFill="1" applyBorder="1" applyAlignment="1" applyProtection="1">
      <alignment horizontal="center"/>
      <protection locked="0"/>
    </xf>
    <xf numFmtId="0" fontId="0" fillId="6" borderId="19" xfId="0" applyFill="1" applyBorder="1" applyAlignment="1" applyProtection="1">
      <alignment horizontal="center"/>
      <protection locked="0"/>
    </xf>
    <xf numFmtId="183" fontId="13" fillId="2" borderId="56" xfId="0" applyNumberFormat="1" applyFont="1" applyFill="1" applyBorder="1" applyAlignment="1">
      <alignment horizontal="center" vertical="center"/>
    </xf>
    <xf numFmtId="183" fontId="13" fillId="2" borderId="18" xfId="0" applyNumberFormat="1" applyFont="1" applyFill="1" applyBorder="1" applyAlignment="1">
      <alignment horizontal="center" vertical="center"/>
    </xf>
    <xf numFmtId="178" fontId="10" fillId="5" borderId="27" xfId="0" applyNumberFormat="1" applyFont="1" applyFill="1" applyBorder="1" applyAlignment="1">
      <alignment horizontal="center" vertical="center"/>
    </xf>
    <xf numFmtId="177" fontId="6" fillId="2" borderId="27" xfId="0" applyNumberFormat="1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178" fontId="10" fillId="5" borderId="2" xfId="0" applyNumberFormat="1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177" fontId="6" fillId="2" borderId="2" xfId="0" applyNumberFormat="1" applyFont="1" applyFill="1" applyBorder="1" applyAlignment="1">
      <alignment horizontal="center"/>
    </xf>
    <xf numFmtId="178" fontId="10" fillId="5" borderId="26" xfId="0" applyNumberFormat="1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5" borderId="58" xfId="0" applyFont="1" applyFill="1" applyBorder="1" applyAlignment="1">
      <alignment horizontal="center" vertical="center"/>
    </xf>
    <xf numFmtId="0" fontId="6" fillId="2" borderId="6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200" fontId="4" fillId="5" borderId="17" xfId="0" applyNumberFormat="1" applyFont="1" applyFill="1" applyBorder="1" applyAlignment="1">
      <alignment horizontal="center" vertical="center"/>
    </xf>
    <xf numFmtId="200" fontId="4" fillId="5" borderId="16" xfId="0" applyNumberFormat="1" applyFont="1" applyFill="1" applyBorder="1" applyAlignment="1">
      <alignment horizontal="center" vertical="center"/>
    </xf>
    <xf numFmtId="200" fontId="4" fillId="5" borderId="15" xfId="0" applyNumberFormat="1" applyFont="1" applyFill="1" applyBorder="1" applyAlignment="1">
      <alignment horizontal="center" vertical="center"/>
    </xf>
    <xf numFmtId="0" fontId="0" fillId="6" borderId="27" xfId="0" applyFill="1" applyBorder="1" applyAlignment="1" applyProtection="1">
      <alignment horizontal="center" vertical="center"/>
      <protection locked="0"/>
    </xf>
    <xf numFmtId="0" fontId="0" fillId="2" borderId="2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/>
    </xf>
    <xf numFmtId="0" fontId="6" fillId="2" borderId="29" xfId="0" applyFont="1" applyFill="1" applyBorder="1" applyAlignment="1">
      <alignment horizontal="left"/>
    </xf>
    <xf numFmtId="0" fontId="6" fillId="2" borderId="30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 vertical="center"/>
    </xf>
    <xf numFmtId="174" fontId="0" fillId="6" borderId="34" xfId="0" applyNumberFormat="1" applyFill="1" applyBorder="1" applyAlignment="1" applyProtection="1">
      <alignment horizontal="center"/>
      <protection locked="0"/>
    </xf>
    <xf numFmtId="174" fontId="0" fillId="6" borderId="35" xfId="0" applyNumberFormat="1" applyFill="1" applyBorder="1" applyAlignment="1" applyProtection="1">
      <alignment horizontal="center"/>
      <protection locked="0"/>
    </xf>
    <xf numFmtId="174" fontId="0" fillId="6" borderId="36" xfId="0" applyNumberFormat="1" applyFill="1" applyBorder="1" applyAlignment="1" applyProtection="1">
      <alignment horizontal="center"/>
      <protection locked="0"/>
    </xf>
    <xf numFmtId="176" fontId="0" fillId="5" borderId="1" xfId="0" applyNumberFormat="1" applyFill="1" applyBorder="1" applyAlignment="1">
      <alignment horizontal="center"/>
    </xf>
    <xf numFmtId="176" fontId="0" fillId="5" borderId="0" xfId="0" applyNumberFormat="1" applyFill="1" applyAlignment="1">
      <alignment horizontal="center"/>
    </xf>
    <xf numFmtId="176" fontId="0" fillId="5" borderId="23" xfId="0" applyNumberFormat="1" applyFill="1" applyBorder="1" applyAlignment="1">
      <alignment horizontal="center"/>
    </xf>
    <xf numFmtId="176" fontId="0" fillId="5" borderId="32" xfId="0" applyNumberFormat="1" applyFill="1" applyBorder="1" applyAlignment="1">
      <alignment horizontal="center"/>
    </xf>
    <xf numFmtId="0" fontId="6" fillId="2" borderId="2" xfId="0" applyFont="1" applyFill="1" applyBorder="1" applyAlignment="1">
      <alignment vertical="center" textRotation="90"/>
    </xf>
    <xf numFmtId="0" fontId="31" fillId="6" borderId="2" xfId="0" applyFont="1" applyFill="1" applyBorder="1" applyAlignment="1" applyProtection="1">
      <alignment horizontal="right"/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15" fontId="11" fillId="6" borderId="2" xfId="0" applyNumberFormat="1" applyFont="1" applyFill="1" applyBorder="1" applyAlignment="1" applyProtection="1">
      <alignment horizontal="center" vertical="center"/>
      <protection locked="0"/>
    </xf>
    <xf numFmtId="15" fontId="0" fillId="6" borderId="2" xfId="0" applyNumberFormat="1" applyFill="1" applyBorder="1" applyAlignment="1" applyProtection="1">
      <alignment horizontal="center" vertical="center"/>
      <protection locked="0"/>
    </xf>
    <xf numFmtId="0" fontId="0" fillId="6" borderId="28" xfId="0" applyFill="1" applyBorder="1" applyAlignment="1" applyProtection="1">
      <alignment horizontal="center" vertical="center"/>
      <protection locked="0"/>
    </xf>
    <xf numFmtId="0" fontId="0" fillId="6" borderId="29" xfId="0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83" fontId="13" fillId="2" borderId="25" xfId="0" applyNumberFormat="1" applyFont="1" applyFill="1" applyBorder="1" applyAlignment="1">
      <alignment horizontal="center" vertical="center"/>
    </xf>
    <xf numFmtId="183" fontId="13" fillId="2" borderId="2" xfId="0" applyNumberFormat="1" applyFont="1" applyFill="1" applyBorder="1" applyAlignment="1">
      <alignment horizontal="center" vertical="center"/>
    </xf>
    <xf numFmtId="183" fontId="13" fillId="2" borderId="69" xfId="0" applyNumberFormat="1" applyFont="1" applyFill="1" applyBorder="1" applyAlignment="1">
      <alignment horizontal="center" vertical="center"/>
    </xf>
    <xf numFmtId="183" fontId="13" fillId="2" borderId="24" xfId="0" applyNumberFormat="1" applyFont="1" applyFill="1" applyBorder="1" applyAlignment="1">
      <alignment horizontal="center" vertical="center"/>
    </xf>
    <xf numFmtId="44" fontId="30" fillId="6" borderId="24" xfId="0" applyNumberFormat="1" applyFont="1" applyFill="1" applyBorder="1" applyAlignment="1">
      <alignment horizontal="center"/>
    </xf>
    <xf numFmtId="44" fontId="30" fillId="6" borderId="58" xfId="0" applyNumberFormat="1" applyFont="1" applyFill="1" applyBorder="1" applyAlignment="1">
      <alignment horizontal="center"/>
    </xf>
    <xf numFmtId="0" fontId="13" fillId="2" borderId="24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 vertical="center" textRotation="90"/>
    </xf>
    <xf numFmtId="0" fontId="10" fillId="2" borderId="26" xfId="0" applyFont="1" applyFill="1" applyBorder="1" applyAlignment="1">
      <alignment horizontal="center" vertical="center" textRotation="90"/>
    </xf>
    <xf numFmtId="0" fontId="10" fillId="2" borderId="21" xfId="0" applyFont="1" applyFill="1" applyBorder="1" applyAlignment="1">
      <alignment horizontal="center" vertical="center" textRotation="90"/>
    </xf>
    <xf numFmtId="0" fontId="11" fillId="6" borderId="2" xfId="0" applyFont="1" applyFill="1" applyBorder="1" applyAlignment="1" applyProtection="1">
      <alignment horizontal="center" vertical="center"/>
      <protection locked="0"/>
    </xf>
    <xf numFmtId="178" fontId="10" fillId="5" borderId="24" xfId="0" applyNumberFormat="1" applyFont="1" applyFill="1" applyBorder="1" applyAlignment="1">
      <alignment horizontal="center" vertical="center"/>
    </xf>
    <xf numFmtId="178" fontId="10" fillId="5" borderId="67" xfId="0" applyNumberFormat="1" applyFont="1" applyFill="1" applyBorder="1" applyAlignment="1">
      <alignment horizontal="center" vertical="center"/>
    </xf>
    <xf numFmtId="44" fontId="30" fillId="6" borderId="2" xfId="0" applyNumberFormat="1" applyFont="1" applyFill="1" applyBorder="1" applyAlignment="1" applyProtection="1">
      <alignment horizontal="center"/>
      <protection locked="0"/>
    </xf>
    <xf numFmtId="44" fontId="30" fillId="6" borderId="26" xfId="0" applyNumberFormat="1" applyFont="1" applyFill="1" applyBorder="1" applyAlignment="1" applyProtection="1">
      <alignment horizontal="center"/>
      <protection locked="0"/>
    </xf>
    <xf numFmtId="165" fontId="1" fillId="8" borderId="2" xfId="0" applyNumberFormat="1" applyFont="1" applyFill="1" applyBorder="1" applyAlignment="1">
      <alignment horizontal="center"/>
    </xf>
    <xf numFmtId="165" fontId="1" fillId="7" borderId="2" xfId="0" applyNumberFormat="1" applyFont="1" applyFill="1" applyBorder="1" applyAlignment="1">
      <alignment horizontal="center"/>
    </xf>
    <xf numFmtId="0" fontId="0" fillId="2" borderId="56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6" borderId="56" xfId="0" applyFill="1" applyBorder="1" applyAlignment="1" applyProtection="1">
      <alignment horizontal="center"/>
      <protection locked="0"/>
    </xf>
    <xf numFmtId="0" fontId="0" fillId="5" borderId="5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5" borderId="60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57" xfId="0" applyFill="1" applyBorder="1" applyAlignment="1">
      <alignment horizontal="center"/>
    </xf>
    <xf numFmtId="177" fontId="0" fillId="0" borderId="23" xfId="0" applyNumberForma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left"/>
      <protection locked="0"/>
    </xf>
    <xf numFmtId="165" fontId="27" fillId="2" borderId="2" xfId="0" applyNumberFormat="1" applyFont="1" applyFill="1" applyBorder="1" applyAlignment="1">
      <alignment horizontal="center" vertical="center"/>
    </xf>
    <xf numFmtId="165" fontId="27" fillId="2" borderId="24" xfId="0" applyNumberFormat="1" applyFont="1" applyFill="1" applyBorder="1" applyAlignment="1">
      <alignment horizontal="center" vertical="center"/>
    </xf>
    <xf numFmtId="177" fontId="6" fillId="2" borderId="15" xfId="0" applyNumberFormat="1" applyFont="1" applyFill="1" applyBorder="1" applyAlignment="1">
      <alignment horizontal="center"/>
    </xf>
    <xf numFmtId="0" fontId="19" fillId="2" borderId="28" xfId="0" applyFont="1" applyFill="1" applyBorder="1" applyAlignment="1">
      <alignment horizontal="left"/>
    </xf>
    <xf numFmtId="0" fontId="19" fillId="2" borderId="29" xfId="0" applyFont="1" applyFill="1" applyBorder="1" applyAlignment="1">
      <alignment horizontal="left"/>
    </xf>
    <xf numFmtId="0" fontId="19" fillId="2" borderId="30" xfId="0" applyFont="1" applyFill="1" applyBorder="1" applyAlignment="1">
      <alignment horizontal="left"/>
    </xf>
    <xf numFmtId="165" fontId="0" fillId="0" borderId="17" xfId="0" applyNumberFormat="1" applyBorder="1" applyAlignment="1" applyProtection="1">
      <alignment horizontal="center"/>
      <protection locked="0"/>
    </xf>
    <xf numFmtId="165" fontId="0" fillId="0" borderId="16" xfId="0" applyNumberFormat="1" applyBorder="1" applyAlignment="1" applyProtection="1">
      <alignment horizontal="center"/>
      <protection locked="0"/>
    </xf>
    <xf numFmtId="165" fontId="0" fillId="0" borderId="16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2" borderId="29" xfId="0" applyNumberFormat="1" applyFill="1" applyBorder="1" applyAlignment="1">
      <alignment horizontal="center"/>
    </xf>
    <xf numFmtId="165" fontId="0" fillId="2" borderId="30" xfId="0" applyNumberFormat="1" applyFill="1" applyBorder="1" applyAlignment="1">
      <alignment horizontal="center"/>
    </xf>
    <xf numFmtId="165" fontId="0" fillId="7" borderId="2" xfId="0" applyNumberFormat="1" applyFill="1" applyBorder="1" applyAlignment="1" applyProtection="1">
      <alignment horizontal="center"/>
      <protection locked="0"/>
    </xf>
    <xf numFmtId="197" fontId="0" fillId="0" borderId="0" xfId="0" applyNumberFormat="1" applyAlignment="1">
      <alignment horizontal="center"/>
    </xf>
    <xf numFmtId="165" fontId="7" fillId="5" borderId="13" xfId="0" applyNumberFormat="1" applyFon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 vertical="center"/>
    </xf>
    <xf numFmtId="165" fontId="7" fillId="5" borderId="11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21" fillId="0" borderId="17" xfId="0" applyFont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33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32" xfId="0" applyFont="1" applyBorder="1" applyAlignment="1">
      <alignment horizontal="left"/>
    </xf>
    <xf numFmtId="165" fontId="26" fillId="5" borderId="13" xfId="0" applyNumberFormat="1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horizontal="center" vertical="center"/>
    </xf>
    <xf numFmtId="0" fontId="26" fillId="5" borderId="11" xfId="0" applyFont="1" applyFill="1" applyBorder="1" applyAlignment="1">
      <alignment horizontal="center" vertical="center"/>
    </xf>
    <xf numFmtId="165" fontId="0" fillId="8" borderId="2" xfId="0" applyNumberFormat="1" applyFill="1" applyBorder="1" applyAlignment="1" applyProtection="1">
      <alignment horizontal="center"/>
      <protection locked="0"/>
    </xf>
    <xf numFmtId="188" fontId="14" fillId="5" borderId="2" xfId="0" applyNumberFormat="1" applyFont="1" applyFill="1" applyBorder="1" applyAlignment="1">
      <alignment horizontal="center"/>
    </xf>
    <xf numFmtId="169" fontId="0" fillId="5" borderId="2" xfId="0" applyNumberFormat="1" applyFill="1" applyBorder="1" applyAlignment="1">
      <alignment horizontal="center"/>
    </xf>
    <xf numFmtId="168" fontId="1" fillId="2" borderId="34" xfId="0" applyNumberFormat="1" applyFont="1" applyFill="1" applyBorder="1" applyAlignment="1">
      <alignment horizontal="left"/>
    </xf>
    <xf numFmtId="168" fontId="1" fillId="2" borderId="35" xfId="0" applyNumberFormat="1" applyFont="1" applyFill="1" applyBorder="1" applyAlignment="1">
      <alignment horizontal="left"/>
    </xf>
    <xf numFmtId="168" fontId="1" fillId="2" borderId="36" xfId="0" applyNumberFormat="1" applyFont="1" applyFill="1" applyBorder="1" applyAlignment="1">
      <alignment horizontal="left"/>
    </xf>
    <xf numFmtId="186" fontId="0" fillId="5" borderId="2" xfId="0" applyNumberFormat="1" applyFill="1" applyBorder="1" applyAlignment="1">
      <alignment horizontal="center"/>
    </xf>
    <xf numFmtId="194" fontId="0" fillId="5" borderId="2" xfId="0" applyNumberFormat="1" applyFill="1" applyBorder="1" applyAlignment="1">
      <alignment horizontal="center"/>
    </xf>
    <xf numFmtId="169" fontId="0" fillId="4" borderId="2" xfId="0" applyNumberFormat="1" applyFill="1" applyBorder="1" applyAlignment="1" applyProtection="1">
      <alignment horizontal="center"/>
      <protection locked="0"/>
    </xf>
    <xf numFmtId="166" fontId="0" fillId="4" borderId="2" xfId="0" applyNumberFormat="1" applyFill="1" applyBorder="1" applyAlignment="1" applyProtection="1">
      <alignment horizontal="center"/>
      <protection locked="0"/>
    </xf>
    <xf numFmtId="182" fontId="0" fillId="4" borderId="2" xfId="0" applyNumberFormat="1" applyFill="1" applyBorder="1" applyAlignment="1" applyProtection="1">
      <alignment horizontal="center"/>
      <protection locked="0"/>
    </xf>
    <xf numFmtId="0" fontId="5" fillId="6" borderId="46" xfId="0" applyFont="1" applyFill="1" applyBorder="1" applyAlignment="1" applyProtection="1">
      <alignment horizontal="center"/>
      <protection locked="0"/>
    </xf>
    <xf numFmtId="0" fontId="5" fillId="6" borderId="47" xfId="0" applyFont="1" applyFill="1" applyBorder="1" applyAlignment="1" applyProtection="1">
      <alignment horizontal="center"/>
      <protection locked="0"/>
    </xf>
    <xf numFmtId="0" fontId="5" fillId="6" borderId="48" xfId="0" applyFont="1" applyFill="1" applyBorder="1" applyAlignment="1" applyProtection="1">
      <alignment horizontal="center"/>
      <protection locked="0"/>
    </xf>
    <xf numFmtId="189" fontId="4" fillId="6" borderId="17" xfId="0" applyNumberFormat="1" applyFont="1" applyFill="1" applyBorder="1" applyAlignment="1" applyProtection="1">
      <alignment horizontal="right" vertical="center"/>
      <protection locked="0"/>
    </xf>
    <xf numFmtId="189" fontId="4" fillId="6" borderId="16" xfId="0" applyNumberFormat="1" applyFont="1" applyFill="1" applyBorder="1" applyAlignment="1" applyProtection="1">
      <alignment horizontal="right" vertical="center"/>
      <protection locked="0"/>
    </xf>
    <xf numFmtId="0" fontId="6" fillId="2" borderId="16" xfId="0" applyFont="1" applyFill="1" applyBorder="1" applyAlignment="1">
      <alignment horizontal="right"/>
    </xf>
    <xf numFmtId="0" fontId="6" fillId="2" borderId="15" xfId="0" applyFont="1" applyFill="1" applyBorder="1" applyAlignment="1">
      <alignment horizontal="right"/>
    </xf>
    <xf numFmtId="175" fontId="6" fillId="2" borderId="2" xfId="0" applyNumberFormat="1" applyFont="1" applyFill="1" applyBorder="1" applyAlignment="1">
      <alignment horizontal="center" vertical="center" textRotation="90"/>
    </xf>
    <xf numFmtId="175" fontId="6" fillId="2" borderId="17" xfId="0" applyNumberFormat="1" applyFont="1" applyFill="1" applyBorder="1" applyAlignment="1">
      <alignment horizontal="center" vertical="center" textRotation="90"/>
    </xf>
    <xf numFmtId="187" fontId="0" fillId="4" borderId="2" xfId="0" applyNumberFormat="1" applyFill="1" applyBorder="1" applyAlignment="1" applyProtection="1">
      <alignment horizontal="center"/>
      <protection locked="0"/>
    </xf>
    <xf numFmtId="164" fontId="0" fillId="4" borderId="2" xfId="0" applyNumberFormat="1" applyFill="1" applyBorder="1" applyAlignment="1">
      <alignment horizontal="center"/>
    </xf>
    <xf numFmtId="165" fontId="7" fillId="5" borderId="13" xfId="0" applyNumberFormat="1" applyFont="1" applyFill="1" applyBorder="1" applyAlignment="1">
      <alignment horizontal="center"/>
    </xf>
    <xf numFmtId="0" fontId="7" fillId="5" borderId="12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198" fontId="0" fillId="4" borderId="2" xfId="0" applyNumberFormat="1" applyFill="1" applyBorder="1" applyAlignment="1" applyProtection="1">
      <alignment horizontal="center"/>
      <protection locked="0"/>
    </xf>
    <xf numFmtId="198" fontId="0" fillId="5" borderId="2" xfId="0" applyNumberFormat="1" applyFill="1" applyBorder="1" applyAlignment="1" applyProtection="1">
      <alignment horizontal="center"/>
      <protection locked="0"/>
    </xf>
    <xf numFmtId="184" fontId="0" fillId="6" borderId="2" xfId="0" applyNumberFormat="1" applyFill="1" applyBorder="1" applyAlignment="1" applyProtection="1">
      <alignment horizontal="center"/>
      <protection locked="0"/>
    </xf>
    <xf numFmtId="184" fontId="0" fillId="5" borderId="2" xfId="0" applyNumberFormat="1" applyFill="1" applyBorder="1" applyAlignment="1" applyProtection="1">
      <alignment horizontal="center"/>
      <protection locked="0"/>
    </xf>
    <xf numFmtId="178" fontId="0" fillId="8" borderId="2" xfId="0" applyNumberForma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85" fontId="0" fillId="5" borderId="2" xfId="0" applyNumberForma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65" fontId="0" fillId="6" borderId="1" xfId="0" applyNumberFormat="1" applyFill="1" applyBorder="1" applyAlignment="1" applyProtection="1">
      <alignment horizontal="center"/>
      <protection locked="0"/>
    </xf>
    <xf numFmtId="165" fontId="0" fillId="6" borderId="0" xfId="0" applyNumberFormat="1" applyFill="1" applyAlignment="1" applyProtection="1">
      <alignment horizontal="center"/>
      <protection locked="0"/>
    </xf>
    <xf numFmtId="165" fontId="0" fillId="6" borderId="33" xfId="0" applyNumberFormat="1" applyFill="1" applyBorder="1" applyAlignment="1" applyProtection="1">
      <alignment horizontal="center"/>
      <protection locked="0"/>
    </xf>
    <xf numFmtId="165" fontId="1" fillId="6" borderId="28" xfId="0" applyNumberFormat="1" applyFont="1" applyFill="1" applyBorder="1" applyAlignment="1" applyProtection="1">
      <alignment horizontal="center" vertical="center"/>
      <protection locked="0"/>
    </xf>
    <xf numFmtId="165" fontId="1" fillId="6" borderId="29" xfId="0" applyNumberFormat="1" applyFont="1" applyFill="1" applyBorder="1" applyAlignment="1" applyProtection="1">
      <alignment horizontal="center" vertical="center"/>
      <protection locked="0"/>
    </xf>
    <xf numFmtId="165" fontId="1" fillId="6" borderId="30" xfId="0" applyNumberFormat="1" applyFont="1" applyFill="1" applyBorder="1" applyAlignment="1" applyProtection="1">
      <alignment horizontal="center" vertical="center"/>
      <protection locked="0"/>
    </xf>
    <xf numFmtId="165" fontId="1" fillId="6" borderId="31" xfId="0" applyNumberFormat="1" applyFont="1" applyFill="1" applyBorder="1" applyAlignment="1" applyProtection="1">
      <alignment horizontal="center" vertical="center"/>
      <protection locked="0"/>
    </xf>
    <xf numFmtId="165" fontId="1" fillId="6" borderId="23" xfId="0" applyNumberFormat="1" applyFont="1" applyFill="1" applyBorder="1" applyAlignment="1" applyProtection="1">
      <alignment horizontal="center" vertical="center"/>
      <protection locked="0"/>
    </xf>
    <xf numFmtId="165" fontId="1" fillId="6" borderId="32" xfId="0" applyNumberFormat="1" applyFont="1" applyFill="1" applyBorder="1" applyAlignment="1" applyProtection="1">
      <alignment horizontal="center" vertical="center"/>
      <protection locked="0"/>
    </xf>
    <xf numFmtId="165" fontId="0" fillId="6" borderId="28" xfId="0" applyNumberFormat="1" applyFill="1" applyBorder="1" applyAlignment="1" applyProtection="1">
      <alignment horizontal="center"/>
      <protection locked="0"/>
    </xf>
    <xf numFmtId="165" fontId="0" fillId="6" borderId="29" xfId="0" applyNumberFormat="1" applyFill="1" applyBorder="1" applyAlignment="1" applyProtection="1">
      <alignment horizontal="center"/>
      <protection locked="0"/>
    </xf>
    <xf numFmtId="165" fontId="0" fillId="6" borderId="30" xfId="0" applyNumberFormat="1" applyFill="1" applyBorder="1" applyAlignment="1" applyProtection="1">
      <alignment horizontal="center"/>
      <protection locked="0"/>
    </xf>
    <xf numFmtId="165" fontId="0" fillId="5" borderId="17" xfId="0" applyNumberFormat="1" applyFill="1" applyBorder="1" applyAlignment="1">
      <alignment horizontal="center"/>
    </xf>
    <xf numFmtId="165" fontId="0" fillId="5" borderId="16" xfId="0" applyNumberFormat="1" applyFill="1" applyBorder="1" applyAlignment="1">
      <alignment horizontal="center"/>
    </xf>
    <xf numFmtId="165" fontId="0" fillId="5" borderId="15" xfId="0" applyNumberFormat="1" applyFill="1" applyBorder="1" applyAlignment="1">
      <alignment horizontal="center"/>
    </xf>
    <xf numFmtId="168" fontId="1" fillId="4" borderId="43" xfId="0" applyNumberFormat="1" applyFont="1" applyFill="1" applyBorder="1" applyAlignment="1" applyProtection="1">
      <alignment horizontal="left"/>
      <protection locked="0"/>
    </xf>
    <xf numFmtId="168" fontId="1" fillId="4" borderId="44" xfId="0" applyNumberFormat="1" applyFont="1" applyFill="1" applyBorder="1" applyAlignment="1" applyProtection="1">
      <alignment horizontal="left"/>
      <protection locked="0"/>
    </xf>
    <xf numFmtId="168" fontId="1" fillId="4" borderId="45" xfId="0" applyNumberFormat="1" applyFont="1" applyFill="1" applyBorder="1" applyAlignment="1" applyProtection="1">
      <alignment horizontal="left"/>
      <protection locked="0"/>
    </xf>
    <xf numFmtId="0" fontId="6" fillId="2" borderId="2" xfId="0" applyFont="1" applyFill="1" applyBorder="1" applyAlignment="1">
      <alignment horizontal="center" vertical="center" textRotation="90"/>
    </xf>
    <xf numFmtId="0" fontId="6" fillId="2" borderId="16" xfId="0" applyFont="1" applyFill="1" applyBorder="1" applyAlignment="1">
      <alignment horizontal="center" vertical="center" textRotation="90"/>
    </xf>
    <xf numFmtId="165" fontId="0" fillId="0" borderId="0" xfId="0" applyNumberFormat="1" applyAlignment="1">
      <alignment horizontal="center"/>
    </xf>
    <xf numFmtId="9" fontId="14" fillId="0" borderId="0" xfId="0" applyNumberFormat="1" applyFont="1" applyAlignment="1">
      <alignment horizontal="center"/>
    </xf>
    <xf numFmtId="181" fontId="14" fillId="0" borderId="0" xfId="0" applyNumberFormat="1" applyFont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165" fontId="4" fillId="0" borderId="10" xfId="0" applyNumberFormat="1" applyFont="1" applyBorder="1" applyAlignment="1">
      <alignment horizontal="right" vertical="center"/>
    </xf>
    <xf numFmtId="165" fontId="4" fillId="0" borderId="9" xfId="0" applyNumberFormat="1" applyFont="1" applyBorder="1" applyAlignment="1">
      <alignment horizontal="right" vertical="center"/>
    </xf>
    <xf numFmtId="165" fontId="4" fillId="0" borderId="8" xfId="0" applyNumberFormat="1" applyFont="1" applyBorder="1" applyAlignment="1">
      <alignment horizontal="right" vertical="center"/>
    </xf>
    <xf numFmtId="165" fontId="4" fillId="0" borderId="5" xfId="0" applyNumberFormat="1" applyFont="1" applyBorder="1" applyAlignment="1">
      <alignment horizontal="right" vertical="center"/>
    </xf>
    <xf numFmtId="165" fontId="4" fillId="0" borderId="4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165" fontId="0" fillId="6" borderId="31" xfId="0" applyNumberFormat="1" applyFill="1" applyBorder="1" applyAlignment="1" applyProtection="1">
      <alignment horizontal="center"/>
      <protection locked="0"/>
    </xf>
    <xf numFmtId="165" fontId="0" fillId="6" borderId="23" xfId="0" applyNumberFormat="1" applyFill="1" applyBorder="1" applyAlignment="1" applyProtection="1">
      <alignment horizontal="center"/>
      <protection locked="0"/>
    </xf>
    <xf numFmtId="165" fontId="0" fillId="6" borderId="32" xfId="0" applyNumberFormat="1" applyFill="1" applyBorder="1" applyAlignment="1" applyProtection="1">
      <alignment horizontal="center"/>
      <protection locked="0"/>
    </xf>
    <xf numFmtId="165" fontId="13" fillId="0" borderId="10" xfId="0" applyNumberFormat="1" applyFont="1" applyBorder="1" applyAlignment="1">
      <alignment horizontal="center" vertical="center"/>
    </xf>
    <xf numFmtId="165" fontId="13" fillId="0" borderId="9" xfId="0" applyNumberFormat="1" applyFont="1" applyBorder="1" applyAlignment="1">
      <alignment horizontal="center" vertical="center"/>
    </xf>
    <xf numFmtId="165" fontId="13" fillId="0" borderId="8" xfId="0" applyNumberFormat="1" applyFont="1" applyBorder="1" applyAlignment="1">
      <alignment horizontal="center" vertical="center"/>
    </xf>
    <xf numFmtId="165" fontId="13" fillId="0" borderId="5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165" fontId="13" fillId="0" borderId="3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0" fillId="0" borderId="3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9" fontId="0" fillId="6" borderId="2" xfId="0" applyNumberFormat="1" applyFill="1" applyBorder="1" applyAlignment="1" applyProtection="1">
      <alignment horizontal="center"/>
      <protection locked="0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98" fontId="0" fillId="6" borderId="2" xfId="0" applyNumberFormat="1" applyFill="1" applyBorder="1" applyAlignment="1" applyProtection="1">
      <alignment horizontal="center"/>
      <protection locked="0"/>
    </xf>
    <xf numFmtId="193" fontId="0" fillId="0" borderId="1" xfId="0" applyNumberFormat="1" applyBorder="1" applyAlignment="1">
      <alignment horizontal="center" vertical="center"/>
    </xf>
    <xf numFmtId="193" fontId="0" fillId="0" borderId="0" xfId="0" applyNumberFormat="1" applyAlignment="1">
      <alignment horizontal="center" vertical="center"/>
    </xf>
    <xf numFmtId="193" fontId="0" fillId="0" borderId="33" xfId="0" applyNumberFormat="1" applyBorder="1" applyAlignment="1">
      <alignment horizontal="center" vertical="center"/>
    </xf>
    <xf numFmtId="192" fontId="0" fillId="0" borderId="1" xfId="0" applyNumberFormat="1" applyBorder="1" applyAlignment="1" applyProtection="1">
      <alignment horizontal="center" vertical="center"/>
      <protection locked="0"/>
    </xf>
    <xf numFmtId="192" fontId="0" fillId="0" borderId="0" xfId="0" applyNumberFormat="1" applyAlignment="1" applyProtection="1">
      <alignment horizontal="center" vertical="center"/>
      <protection locked="0"/>
    </xf>
    <xf numFmtId="192" fontId="0" fillId="0" borderId="33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horizontal="left" vertical="top" wrapText="1"/>
      <protection locked="0"/>
    </xf>
    <xf numFmtId="0" fontId="0" fillId="0" borderId="31" xfId="0" applyBorder="1" applyAlignment="1" applyProtection="1">
      <alignment horizontal="left" vertical="top" wrapText="1"/>
      <protection locked="0"/>
    </xf>
    <xf numFmtId="0" fontId="0" fillId="0" borderId="23" xfId="0" applyBorder="1" applyAlignment="1" applyProtection="1">
      <alignment horizontal="left" vertical="top" wrapText="1"/>
      <protection locked="0"/>
    </xf>
    <xf numFmtId="0" fontId="0" fillId="0" borderId="32" xfId="0" applyBorder="1" applyAlignment="1" applyProtection="1">
      <alignment horizontal="left" vertical="top" wrapText="1"/>
      <protection locked="0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0" fillId="3" borderId="28" xfId="0" applyFont="1" applyFill="1" applyBorder="1" applyAlignment="1">
      <alignment horizontal="center" vertical="center"/>
    </xf>
    <xf numFmtId="0" fontId="50" fillId="3" borderId="29" xfId="0" applyFont="1" applyFill="1" applyBorder="1" applyAlignment="1">
      <alignment horizontal="center" vertical="center"/>
    </xf>
    <xf numFmtId="0" fontId="50" fillId="3" borderId="30" xfId="0" applyFont="1" applyFill="1" applyBorder="1" applyAlignment="1">
      <alignment horizontal="center" vertical="center"/>
    </xf>
    <xf numFmtId="0" fontId="50" fillId="3" borderId="31" xfId="0" applyFont="1" applyFill="1" applyBorder="1" applyAlignment="1">
      <alignment horizontal="center" vertical="center"/>
    </xf>
    <xf numFmtId="0" fontId="50" fillId="3" borderId="23" xfId="0" applyFont="1" applyFill="1" applyBorder="1" applyAlignment="1">
      <alignment horizontal="center" vertical="center"/>
    </xf>
    <xf numFmtId="0" fontId="50" fillId="3" borderId="32" xfId="0" applyFont="1" applyFill="1" applyBorder="1" applyAlignment="1">
      <alignment horizontal="center" vertical="center"/>
    </xf>
    <xf numFmtId="0" fontId="0" fillId="2" borderId="28" xfId="0" applyFill="1" applyBorder="1" applyAlignment="1" applyProtection="1">
      <alignment horizontal="center"/>
      <protection locked="0"/>
    </xf>
    <xf numFmtId="0" fontId="0" fillId="2" borderId="29" xfId="0" applyFill="1" applyBorder="1" applyAlignment="1" applyProtection="1">
      <alignment horizontal="center"/>
      <protection locked="0"/>
    </xf>
    <xf numFmtId="0" fontId="44" fillId="2" borderId="2" xfId="2" applyFont="1" applyFill="1" applyBorder="1" applyAlignment="1">
      <alignment horizontal="center"/>
    </xf>
    <xf numFmtId="0" fontId="3" fillId="4" borderId="2" xfId="2" applyFill="1" applyBorder="1" applyAlignment="1" applyProtection="1">
      <alignment horizontal="center"/>
      <protection locked="0"/>
    </xf>
    <xf numFmtId="14" fontId="3" fillId="4" borderId="2" xfId="2" applyNumberFormat="1" applyFill="1" applyBorder="1" applyAlignment="1" applyProtection="1">
      <alignment horizontal="center"/>
      <protection locked="0"/>
    </xf>
    <xf numFmtId="0" fontId="3" fillId="0" borderId="0" xfId="2" applyAlignment="1">
      <alignment horizontal="right"/>
    </xf>
    <xf numFmtId="0" fontId="3" fillId="0" borderId="6" xfId="2" applyBorder="1" applyAlignment="1">
      <alignment horizontal="right"/>
    </xf>
    <xf numFmtId="0" fontId="3" fillId="13" borderId="17" xfId="2" applyFill="1" applyBorder="1" applyAlignment="1">
      <alignment horizontal="left"/>
    </xf>
    <xf numFmtId="0" fontId="3" fillId="13" borderId="50" xfId="2" applyFill="1" applyBorder="1" applyAlignment="1">
      <alignment horizontal="left"/>
    </xf>
    <xf numFmtId="0" fontId="38" fillId="0" borderId="0" xfId="2" applyFont="1" applyAlignment="1">
      <alignment horizontal="center"/>
    </xf>
    <xf numFmtId="0" fontId="3" fillId="0" borderId="17" xfId="2" applyBorder="1" applyAlignment="1">
      <alignment horizontal="center"/>
    </xf>
    <xf numFmtId="0" fontId="3" fillId="0" borderId="15" xfId="2" applyBorder="1" applyAlignment="1">
      <alignment horizontal="center"/>
    </xf>
    <xf numFmtId="0" fontId="3" fillId="13" borderId="16" xfId="2" applyFill="1" applyBorder="1" applyAlignment="1">
      <alignment horizontal="left"/>
    </xf>
    <xf numFmtId="0" fontId="3" fillId="13" borderId="17" xfId="2" applyFill="1" applyBorder="1" applyAlignment="1">
      <alignment horizontal="center"/>
    </xf>
    <xf numFmtId="0" fontId="3" fillId="13" borderId="15" xfId="2" applyFill="1" applyBorder="1" applyAlignment="1">
      <alignment horizontal="center"/>
    </xf>
    <xf numFmtId="0" fontId="3" fillId="13" borderId="16" xfId="2" applyFill="1" applyBorder="1" applyAlignment="1">
      <alignment horizontal="center"/>
    </xf>
    <xf numFmtId="0" fontId="3" fillId="0" borderId="16" xfId="2" applyBorder="1" applyAlignment="1">
      <alignment horizontal="center"/>
    </xf>
    <xf numFmtId="0" fontId="3" fillId="0" borderId="2" xfId="2" applyBorder="1" applyAlignment="1">
      <alignment horizontal="center"/>
    </xf>
    <xf numFmtId="0" fontId="3" fillId="13" borderId="2" xfId="2" applyFill="1" applyBorder="1" applyAlignment="1">
      <alignment horizontal="center"/>
    </xf>
    <xf numFmtId="0" fontId="39" fillId="0" borderId="2" xfId="2" applyFont="1" applyBorder="1" applyAlignment="1">
      <alignment horizontal="center"/>
    </xf>
    <xf numFmtId="0" fontId="39" fillId="0" borderId="17" xfId="2" applyFont="1" applyBorder="1" applyAlignment="1">
      <alignment horizontal="center"/>
    </xf>
    <xf numFmtId="14" fontId="3" fillId="5" borderId="2" xfId="2" applyNumberFormat="1" applyFill="1" applyBorder="1" applyAlignment="1">
      <alignment horizontal="center"/>
    </xf>
    <xf numFmtId="0" fontId="40" fillId="2" borderId="60" xfId="2" applyFont="1" applyFill="1" applyBorder="1" applyAlignment="1">
      <alignment horizontal="center"/>
    </xf>
    <xf numFmtId="0" fontId="40" fillId="2" borderId="57" xfId="2" applyFont="1" applyFill="1" applyBorder="1" applyAlignment="1">
      <alignment horizontal="center"/>
    </xf>
    <xf numFmtId="0" fontId="40" fillId="2" borderId="13" xfId="2" applyFont="1" applyFill="1" applyBorder="1" applyAlignment="1">
      <alignment horizontal="center"/>
    </xf>
    <xf numFmtId="0" fontId="3" fillId="0" borderId="1" xfId="2" applyBorder="1" applyAlignment="1">
      <alignment horizontal="center"/>
    </xf>
    <xf numFmtId="0" fontId="3" fillId="0" borderId="33" xfId="2" applyBorder="1" applyAlignment="1">
      <alignment horizontal="center"/>
    </xf>
    <xf numFmtId="166" fontId="3" fillId="4" borderId="2" xfId="2" applyNumberFormat="1" applyFill="1" applyBorder="1" applyAlignment="1" applyProtection="1">
      <alignment horizontal="center"/>
      <protection locked="0"/>
    </xf>
    <xf numFmtId="0" fontId="3" fillId="0" borderId="2" xfId="2" applyBorder="1" applyAlignment="1">
      <alignment horizontal="left"/>
    </xf>
    <xf numFmtId="0" fontId="3" fillId="0" borderId="17" xfId="2" applyBorder="1" applyAlignment="1">
      <alignment horizontal="left"/>
    </xf>
    <xf numFmtId="0" fontId="3" fillId="4" borderId="13" xfId="2" applyFill="1" applyBorder="1" applyAlignment="1" applyProtection="1">
      <alignment horizontal="center"/>
      <protection locked="0"/>
    </xf>
    <xf numFmtId="0" fontId="3" fillId="4" borderId="11" xfId="2" applyFill="1" applyBorder="1" applyAlignment="1" applyProtection="1">
      <alignment horizontal="center"/>
      <protection locked="0"/>
    </xf>
    <xf numFmtId="0" fontId="3" fillId="4" borderId="12" xfId="2" applyFill="1" applyBorder="1" applyAlignment="1" applyProtection="1">
      <alignment horizontal="center"/>
      <protection locked="0"/>
    </xf>
    <xf numFmtId="0" fontId="0" fillId="4" borderId="23" xfId="0" applyFill="1" applyBorder="1" applyAlignment="1" applyProtection="1">
      <alignment horizontal="center"/>
      <protection locked="0"/>
    </xf>
    <xf numFmtId="0" fontId="0" fillId="4" borderId="65" xfId="0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9" xfId="0" applyFill="1" applyBorder="1" applyAlignment="1" applyProtection="1">
      <alignment horizontal="center"/>
      <protection locked="0"/>
    </xf>
    <xf numFmtId="0" fontId="0" fillId="4" borderId="8" xfId="0" applyFill="1" applyBorder="1" applyAlignment="1" applyProtection="1">
      <alignment horizontal="center"/>
      <protection locked="0"/>
    </xf>
    <xf numFmtId="0" fontId="0" fillId="4" borderId="5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49" fontId="1" fillId="2" borderId="17" xfId="0" applyNumberFormat="1" applyFont="1" applyFill="1" applyBorder="1" applyAlignment="1">
      <alignment horizontal="center"/>
    </xf>
    <xf numFmtId="49" fontId="1" fillId="2" borderId="16" xfId="0" applyNumberFormat="1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0" fillId="0" borderId="2" xfId="0" applyNumberFormat="1" applyBorder="1" applyAlignment="1">
      <alignment horizontal="left"/>
    </xf>
    <xf numFmtId="1" fontId="1" fillId="0" borderId="2" xfId="0" applyNumberFormat="1" applyFont="1" applyBorder="1" applyAlignment="1">
      <alignment horizontal="center"/>
    </xf>
    <xf numFmtId="44" fontId="1" fillId="15" borderId="2" xfId="0" applyNumberFormat="1" applyFont="1" applyFill="1" applyBorder="1" applyAlignment="1">
      <alignment horizontal="center"/>
    </xf>
    <xf numFmtId="44" fontId="50" fillId="15" borderId="75" xfId="0" applyNumberFormat="1" applyFont="1" applyFill="1" applyBorder="1" applyAlignment="1">
      <alignment horizontal="center" vertical="center"/>
    </xf>
    <xf numFmtId="44" fontId="1" fillId="8" borderId="2" xfId="0" applyNumberFormat="1" applyFont="1" applyFill="1" applyBorder="1" applyAlignment="1">
      <alignment horizontal="center"/>
    </xf>
    <xf numFmtId="44" fontId="10" fillId="8" borderId="75" xfId="0" applyNumberFormat="1" applyFont="1" applyFill="1" applyBorder="1" applyAlignment="1">
      <alignment horizontal="center" vertical="center"/>
    </xf>
  </cellXfs>
  <cellStyles count="16">
    <cellStyle name="Comma 2" xfId="14" xr:uid="{00000000-0005-0000-0000-000000000000}"/>
    <cellStyle name="Lien hypertexte" xfId="5" builtinId="8"/>
    <cellStyle name="Monétaire" xfId="15" builtinId="4"/>
    <cellStyle name="Normal" xfId="0" builtinId="0"/>
    <cellStyle name="Normal 2" xfId="2" xr:uid="{00000000-0005-0000-0000-000003000000}"/>
    <cellStyle name="Normal 2 2 2" xfId="3" xr:uid="{00000000-0005-0000-0000-000004000000}"/>
    <cellStyle name="Normal 3" xfId="1" xr:uid="{00000000-0005-0000-0000-000005000000}"/>
    <cellStyle name="Normal 3 2" xfId="6" xr:uid="{00000000-0005-0000-0000-000006000000}"/>
    <cellStyle name="Normal 3 3" xfId="8" xr:uid="{00000000-0005-0000-0000-000007000000}"/>
    <cellStyle name="Normal 3 4" xfId="10" xr:uid="{00000000-0005-0000-0000-000008000000}"/>
    <cellStyle name="Normal 3 5" xfId="12" xr:uid="{00000000-0005-0000-0000-000009000000}"/>
    <cellStyle name="Pourcentage 2" xfId="4" xr:uid="{00000000-0005-0000-0000-00000A000000}"/>
    <cellStyle name="Pourcentage 2 2" xfId="7" xr:uid="{00000000-0005-0000-0000-00000B000000}"/>
    <cellStyle name="Pourcentage 2 3" xfId="9" xr:uid="{00000000-0005-0000-0000-00000C000000}"/>
    <cellStyle name="Pourcentage 2 4" xfId="11" xr:uid="{00000000-0005-0000-0000-00000D000000}"/>
    <cellStyle name="Pourcentage 2 5" xfId="13" xr:uid="{00000000-0005-0000-0000-00000E000000}"/>
  </cellStyles>
  <dxfs count="46">
    <dxf>
      <fill>
        <patternFill>
          <bgColor theme="0" tint="-0.14996795556505021"/>
        </patternFill>
      </fill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ill>
        <patternFill>
          <bgColor theme="0" tint="-0.14996795556505021"/>
        </patternFill>
      </fill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ill>
        <patternFill>
          <bgColor theme="0" tint="-0.14996795556505021"/>
        </patternFill>
      </fill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ont>
        <b/>
        <i val="0"/>
        <color theme="0" tint="-0.34998626667073579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FF0000"/>
      </font>
      <fill>
        <patternFill>
          <bgColor theme="4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u val="double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7" dropStyle="combo" dx="22" fmlaLink="$AM$10" fmlaRange="$AQ$8:$AQ$14" noThreeD="1" sel="1" val="0"/>
</file>

<file path=xl/ctrlProps/ctrlProp2.xml><?xml version="1.0" encoding="utf-8"?>
<formControlPr xmlns="http://schemas.microsoft.com/office/spreadsheetml/2009/9/main" objectType="Drop" dropLines="7" dropStyle="combo" dx="22" fmlaLink="$AM$11" fmlaRange="$AR$8:$AR$14" noThreeD="1" sel="1" val="0"/>
</file>

<file path=xl/ctrlProps/ctrlProp3.xml><?xml version="1.0" encoding="utf-8"?>
<formControlPr xmlns="http://schemas.microsoft.com/office/spreadsheetml/2009/9/main" objectType="CheckBox" fmlaLink="$T$5" lockText="1" noThreeD="1"/>
</file>

<file path=xl/ctrlProps/ctrlProp4.xml><?xml version="1.0" encoding="utf-8"?>
<formControlPr xmlns="http://schemas.microsoft.com/office/spreadsheetml/2009/9/main" objectType="CheckBox" fmlaLink="$L$91" lockText="1" noThreeD="1"/>
</file>

<file path=xl/ctrlProps/ctrlProp5.xml><?xml version="1.0" encoding="utf-8"?>
<formControlPr xmlns="http://schemas.microsoft.com/office/spreadsheetml/2009/9/main" objectType="CheckBox" fmlaLink="$L$92" lockText="1" noThreeD="1"/>
</file>

<file path=xl/ctrlProps/ctrlProp6.xml><?xml version="1.0" encoding="utf-8"?>
<formControlPr xmlns="http://schemas.microsoft.com/office/spreadsheetml/2009/9/main" objectType="CheckBox" fmlaLink="$L$93" lockText="1" noThreeD="1"/>
</file>

<file path=xl/ctrlProps/ctrlProp7.xml><?xml version="1.0" encoding="utf-8"?>
<formControlPr xmlns="http://schemas.microsoft.com/office/spreadsheetml/2009/9/main" objectType="CheckBox" fmlaLink="$L$95" lockText="1" noThreeD="1"/>
</file>

<file path=xl/ctrlProps/ctrlProp8.xml><?xml version="1.0" encoding="utf-8"?>
<formControlPr xmlns="http://schemas.microsoft.com/office/spreadsheetml/2009/9/main" objectType="CheckBox" fmlaLink="$L$96" lockText="1" noThreeD="1"/>
</file>

<file path=xl/ctrlProps/ctrlProp9.xml><?xml version="1.0" encoding="utf-8"?>
<formControlPr xmlns="http://schemas.microsoft.com/office/spreadsheetml/2009/9/main" objectType="CheckBox" fmlaLink="$L$106" lockText="1" noThreeD="1"/>
</file>

<file path=xl/ctrlProps/ctrlProp10.xml><?xml version="1.0" encoding="utf-8"?>
<formControlPr xmlns="http://schemas.microsoft.com/office/spreadsheetml/2009/9/main" objectType="CheckBox" fmlaLink="$L$109" lockText="1" noThreeD="1"/>
</file>

<file path=xl/ctrlProps/ctrlProp11.xml><?xml version="1.0" encoding="utf-8"?>
<formControlPr xmlns="http://schemas.microsoft.com/office/spreadsheetml/2009/9/main" objectType="CheckBox" fmlaLink="$L$110" lockText="1" noThreeD="1"/>
</file>

<file path=xl/ctrlProps/ctrlProp12.xml><?xml version="1.0" encoding="utf-8"?>
<formControlPr xmlns="http://schemas.microsoft.com/office/spreadsheetml/2009/9/main" objectType="CheckBox" fmlaLink="$L$113" lockText="1" noThreeD="1"/>
</file>

<file path=xl/ctrlProps/ctrlProp13.xml><?xml version="1.0" encoding="utf-8"?>
<formControlPr xmlns="http://schemas.microsoft.com/office/spreadsheetml/2009/9/main" objectType="CheckBox" fmlaLink="$K$146" lockText="1" noThreeD="1"/>
</file>

<file path=xl/ctrlProps/ctrlProp14.xml><?xml version="1.0" encoding="utf-8"?>
<formControlPr xmlns="http://schemas.microsoft.com/office/spreadsheetml/2009/9/main" objectType="CheckBox" fmlaLink="$K$148" lockText="1" noThreeD="1"/>
</file>

<file path=xl/ctrlProps/ctrlProp15.xml><?xml version="1.0" encoding="utf-8"?>
<formControlPr xmlns="http://schemas.microsoft.com/office/spreadsheetml/2009/9/main" objectType="CheckBox" fmlaLink="$K$149" lockText="1" noThreeD="1"/>
</file>

<file path=xl/ctrlProps/ctrlProp16.xml><?xml version="1.0" encoding="utf-8"?>
<formControlPr xmlns="http://schemas.microsoft.com/office/spreadsheetml/2009/9/main" objectType="CheckBox" fmlaLink="$K$150" lockText="1" noThreeD="1"/>
</file>

<file path=xl/ctrlProps/ctrlProp17.xml><?xml version="1.0" encoding="utf-8"?>
<formControlPr xmlns="http://schemas.microsoft.com/office/spreadsheetml/2009/9/main" objectType="CheckBox" fmlaLink="$K$152" lockText="1" noThreeD="1"/>
</file>

<file path=xl/ctrlProps/ctrlProp18.xml><?xml version="1.0" encoding="utf-8"?>
<formControlPr xmlns="http://schemas.microsoft.com/office/spreadsheetml/2009/9/main" objectType="CheckBox" fmlaLink="$K$153" lockText="1" noThreeD="1"/>
</file>

<file path=xl/ctrlProps/ctrlProp19.xml><?xml version="1.0" encoding="utf-8"?>
<formControlPr xmlns="http://schemas.microsoft.com/office/spreadsheetml/2009/9/main" objectType="CheckBox" fmlaLink="$K$154" lockText="1" noThreeD="1"/>
</file>

<file path=xl/ctrlProps/ctrlProp20.xml><?xml version="1.0" encoding="utf-8"?>
<formControlPr xmlns="http://schemas.microsoft.com/office/spreadsheetml/2009/9/main" objectType="CheckBox" fmlaLink="$K$157" lockText="1" noThreeD="1"/>
</file>

<file path=xl/ctrlProps/ctrlProp21.xml><?xml version="1.0" encoding="utf-8"?>
<formControlPr xmlns="http://schemas.microsoft.com/office/spreadsheetml/2009/9/main" objectType="CheckBox" fmlaLink="$K$156" lockText="1" noThreeD="1"/>
</file>

<file path=xl/ctrlProps/ctrlProp22.xml><?xml version="1.0" encoding="utf-8"?>
<formControlPr xmlns="http://schemas.microsoft.com/office/spreadsheetml/2009/9/main" objectType="CheckBox" fmlaLink="$K$178" lockText="1" noThreeD="1"/>
</file>

<file path=xl/ctrlProps/ctrlProp23.xml><?xml version="1.0" encoding="utf-8"?>
<formControlPr xmlns="http://schemas.microsoft.com/office/spreadsheetml/2009/9/main" objectType="CheckBox" fmlaLink="$K$177" lockText="1" noThreeD="1"/>
</file>

<file path=xl/ctrlProps/ctrlProp24.xml><?xml version="1.0" encoding="utf-8"?>
<formControlPr xmlns="http://schemas.microsoft.com/office/spreadsheetml/2009/9/main" objectType="CheckBox" fmlaLink="$K$176" lockText="1" noThreeD="1"/>
</file>

<file path=xl/ctrlProps/ctrlProp25.xml><?xml version="1.0" encoding="utf-8"?>
<formControlPr xmlns="http://schemas.microsoft.com/office/spreadsheetml/2009/9/main" objectType="CheckBox" fmlaLink="$K$175" lockText="1" noThreeD="1"/>
</file>

<file path=xl/ctrlProps/ctrlProp26.xml><?xml version="1.0" encoding="utf-8"?>
<formControlPr xmlns="http://schemas.microsoft.com/office/spreadsheetml/2009/9/main" objectType="CheckBox" fmlaLink="$K$174" lockText="1" noThreeD="1"/>
</file>

<file path=xl/ctrlProps/ctrlProp27.xml><?xml version="1.0" encoding="utf-8"?>
<formControlPr xmlns="http://schemas.microsoft.com/office/spreadsheetml/2009/9/main" objectType="CheckBox" fmlaLink="$K$173" lockText="1" noThreeD="1"/>
</file>

<file path=xl/ctrlProps/ctrlProp28.xml><?xml version="1.0" encoding="utf-8"?>
<formControlPr xmlns="http://schemas.microsoft.com/office/spreadsheetml/2009/9/main" objectType="CheckBox" fmlaLink="$K$172" lockText="1" noThreeD="1"/>
</file>

<file path=xl/ctrlProps/ctrlProp29.xml><?xml version="1.0" encoding="utf-8"?>
<formControlPr xmlns="http://schemas.microsoft.com/office/spreadsheetml/2009/9/main" objectType="CheckBox" fmlaLink="$K$171" lockText="1" noThreeD="1"/>
</file>

<file path=xl/ctrlProps/ctrlProp30.xml><?xml version="1.0" encoding="utf-8"?>
<formControlPr xmlns="http://schemas.microsoft.com/office/spreadsheetml/2009/9/main" objectType="CheckBox" fmlaLink="$K$170" lockText="1" noThreeD="1"/>
</file>

<file path=xl/ctrlProps/ctrlProp31.xml><?xml version="1.0" encoding="utf-8"?>
<formControlPr xmlns="http://schemas.microsoft.com/office/spreadsheetml/2009/9/main" objectType="CheckBox" fmlaLink="$K$168" lockText="1" noThreeD="1"/>
</file>

<file path=xl/ctrlProps/ctrlProp32.xml><?xml version="1.0" encoding="utf-8"?>
<formControlPr xmlns="http://schemas.microsoft.com/office/spreadsheetml/2009/9/main" objectType="CheckBox" fmlaLink="$K$167" lockText="1" noThreeD="1"/>
</file>

<file path=xl/ctrlProps/ctrlProp33.xml><?xml version="1.0" encoding="utf-8"?>
<formControlPr xmlns="http://schemas.microsoft.com/office/spreadsheetml/2009/9/main" objectType="CheckBox" fmlaLink="$K$166" lockText="1" noThreeD="1"/>
</file>

<file path=xl/ctrlProps/ctrlProp34.xml><?xml version="1.0" encoding="utf-8"?>
<formControlPr xmlns="http://schemas.microsoft.com/office/spreadsheetml/2009/9/main" objectType="CheckBox" fmlaLink="$K$165" lockText="1" noThreeD="1"/>
</file>

<file path=xl/ctrlProps/ctrlProp35.xml><?xml version="1.0" encoding="utf-8"?>
<formControlPr xmlns="http://schemas.microsoft.com/office/spreadsheetml/2009/9/main" objectType="CheckBox" fmlaLink="$K$163" lockText="1" noThreeD="1"/>
</file>

<file path=xl/ctrlProps/ctrlProp36.xml><?xml version="1.0" encoding="utf-8"?>
<formControlPr xmlns="http://schemas.microsoft.com/office/spreadsheetml/2009/9/main" objectType="CheckBox" fmlaLink="$K$162" lockText="1" noThreeD="1"/>
</file>

<file path=xl/ctrlProps/ctrlProp37.xml><?xml version="1.0" encoding="utf-8"?>
<formControlPr xmlns="http://schemas.microsoft.com/office/spreadsheetml/2009/9/main" objectType="CheckBox" fmlaLink="$K$161" lockText="1" noThreeD="1"/>
</file>

<file path=xl/ctrlProps/ctrlProp38.xml><?xml version="1.0" encoding="utf-8"?>
<formControlPr xmlns="http://schemas.microsoft.com/office/spreadsheetml/2009/9/main" objectType="CheckBox" fmlaLink="$K$160" lockText="1" noThreeD="1"/>
</file>

<file path=xl/ctrlProps/ctrlProp39.xml><?xml version="1.0" encoding="utf-8"?>
<formControlPr xmlns="http://schemas.microsoft.com/office/spreadsheetml/2009/9/main" objectType="CheckBox" fmlaLink="$K$158" lockText="1" noThreeD="1"/>
</file>

<file path=xl/ctrlProps/ctrlProp40.xml><?xml version="1.0" encoding="utf-8"?>
<formControlPr xmlns="http://schemas.microsoft.com/office/spreadsheetml/2009/9/main" objectType="CheckBox" fmlaLink="$K$147" lockText="1" noThreeD="1"/>
</file>

<file path=xl/ctrlProps/ctrlProp41.xml><?xml version="1.0" encoding="utf-8"?>
<formControlPr xmlns="http://schemas.microsoft.com/office/spreadsheetml/2009/9/main" objectType="CheckBox" fmlaLink="$L$115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Drop" dropLines="10" dropStyle="combo" dx="22" fmlaLink="$AM$8" fmlaRange="$AO$8:$AO$17" noThreeD="1" sel="1" val="0"/>
</file>

<file path=xl/ctrlProps/ctrlProp44.xml><?xml version="1.0" encoding="utf-8"?>
<formControlPr xmlns="http://schemas.microsoft.com/office/spreadsheetml/2009/9/main" objectType="Drop" dropLines="9" dropStyle="combo" dx="22" fmlaLink="$AM$9" fmlaRange="$AP$8:$AP$16" noThreeD="1" sel="1" val="0"/>
</file>

<file path=xl/ctrlProps/ctrlProp45.xml><?xml version="1.0" encoding="utf-8"?>
<formControlPr xmlns="http://schemas.microsoft.com/office/spreadsheetml/2009/9/main" objectType="Drop" dropLines="10" dropStyle="combo" dx="22" fmlaLink="$AM$12" fmlaRange="$AS$8:$AS$17" noThreeD="1" sel="1" val="0"/>
</file>

<file path=xl/ctrlProps/ctrlProp46.xml><?xml version="1.0" encoding="utf-8"?>
<formControlPr xmlns="http://schemas.microsoft.com/office/spreadsheetml/2009/9/main" objectType="Drop" dropStyle="combo" dx="22" fmlaLink="$AM$13" fmlaRange="$AT$8:$AT$15" noThreeD="1" sel="1" val="0"/>
</file>

<file path=xl/ctrlProps/ctrlProp47.xml><?xml version="1.0" encoding="utf-8"?>
<formControlPr xmlns="http://schemas.microsoft.com/office/spreadsheetml/2009/9/main" objectType="Drop" dropLines="7" dropStyle="combo" dx="22" fmlaLink="$AM$14" fmlaRange="$AU$8:$AU$14" noThreeD="1" sel="1" val="0"/>
</file>

<file path=xl/ctrlProps/ctrlProp48.xml><?xml version="1.0" encoding="utf-8"?>
<formControlPr xmlns="http://schemas.microsoft.com/office/spreadsheetml/2009/9/main" objectType="Drop" dropLines="7" dropStyle="combo" dx="22" fmlaLink="$AM$15" fmlaRange="$AV$8:$AV$14" noThreeD="1" sel="1" val="0"/>
</file>

<file path=xl/ctrlProps/ctrlProp49.xml><?xml version="1.0" encoding="utf-8"?>
<formControlPr xmlns="http://schemas.microsoft.com/office/spreadsheetml/2009/9/main" objectType="Drop" dropLines="6" dropStyle="combo" dx="22" fmlaLink="$AM$16" fmlaRange="$AW$8:$AW$13" noThreeD="1" sel="1" val="0"/>
</file>

<file path=xl/ctrlProps/ctrlProp50.xml><?xml version="1.0" encoding="utf-8"?>
<formControlPr xmlns="http://schemas.microsoft.com/office/spreadsheetml/2009/9/main" objectType="Drop" dropLines="10" dropStyle="combo" dx="22" fmlaLink="$AM$17" fmlaRange="$AX$8:$AX$17" noThreeD="1" sel="1" val="0"/>
</file>

<file path=xl/ctrlProps/ctrlProp51.xml><?xml version="1.0" encoding="utf-8"?>
<formControlPr xmlns="http://schemas.microsoft.com/office/spreadsheetml/2009/9/main" objectType="Drop" dropLines="10" dropStyle="combo" dx="22" fmlaLink="$AM$19" fmlaRange="$AY$8:$AY$17" noThreeD="1" sel="1" val="0"/>
</file>

<file path=xl/ctrlProps/ctrlProp52.xml><?xml version="1.0" encoding="utf-8"?>
<formControlPr xmlns="http://schemas.microsoft.com/office/spreadsheetml/2009/9/main" objectType="Drop" dropLines="10" dropStyle="combo" dx="22" fmlaLink="$AM$20" fmlaRange="$AZ$8:$AZ$17" noThreeD="1" sel="1" val="0"/>
</file>

<file path=xl/ctrlProps/ctrlProp53.xml><?xml version="1.0" encoding="utf-8"?>
<formControlPr xmlns="http://schemas.microsoft.com/office/spreadsheetml/2009/9/main" objectType="Drop" dropLines="9" dropStyle="combo" dx="22" fmlaLink="$AM$21" fmlaRange="$BA$8:$BA$16" noThreeD="1" sel="1" val="0"/>
</file>

<file path=xl/ctrlProps/ctrlProp54.xml><?xml version="1.0" encoding="utf-8"?>
<formControlPr xmlns="http://schemas.microsoft.com/office/spreadsheetml/2009/9/main" objectType="Drop" dropLines="3" dropStyle="combo" dx="22" fmlaLink="$AM$22" fmlaRange="$BB$8:$BB$10" noThreeD="1" sel="1" val="0"/>
</file>

<file path=xl/ctrlProps/ctrlProp55.xml><?xml version="1.0" encoding="utf-8"?>
<formControlPr xmlns="http://schemas.microsoft.com/office/spreadsheetml/2009/9/main" objectType="Drop" dropLines="6" dropStyle="combo" dx="22" fmlaLink="$AM$23" fmlaRange="$BC$8:$BC$13" noThreeD="1" sel="1" val="0"/>
</file>

<file path=xl/ctrlProps/ctrlProp56.xml><?xml version="1.0" encoding="utf-8"?>
<formControlPr xmlns="http://schemas.microsoft.com/office/spreadsheetml/2009/9/main" objectType="Drop" dropLines="3" dropStyle="combo" dx="22" fmlaLink="$AM$24" fmlaRange="$BD$8:$BD$10" noThreeD="1" sel="1" val="0"/>
</file>

<file path=xl/ctrlProps/ctrlProp57.xml><?xml version="1.0" encoding="utf-8"?>
<formControlPr xmlns="http://schemas.microsoft.com/office/spreadsheetml/2009/9/main" objectType="Drop" dropLines="6" dropStyle="combo" dx="22" fmlaLink="$AM$31" fmlaRange="$AO$33:$AO$38" noThreeD="1" sel="1" val="0"/>
</file>

<file path=xl/ctrlProps/ctrlProp58.xml><?xml version="1.0" encoding="utf-8"?>
<formControlPr xmlns="http://schemas.microsoft.com/office/spreadsheetml/2009/9/main" objectType="Drop" dropLines="10" dropStyle="combo" dx="22" fmlaLink="$AM$32" fmlaRange="$AP$33:$AP$42" noThreeD="1" sel="1" val="0"/>
</file>

<file path=xl/ctrlProps/ctrlProp59.xml><?xml version="1.0" encoding="utf-8"?>
<formControlPr xmlns="http://schemas.microsoft.com/office/spreadsheetml/2009/9/main" objectType="Drop" dropLines="4" dropStyle="combo" dx="22" fmlaLink="$AM$33" fmlaRange="$AQ$33:$AQ$36" noThreeD="1" sel="1" val="0"/>
</file>

<file path=xl/ctrlProps/ctrlProp60.xml><?xml version="1.0" encoding="utf-8"?>
<formControlPr xmlns="http://schemas.microsoft.com/office/spreadsheetml/2009/9/main" objectType="Drop" dropLines="3" dropStyle="combo" dx="22" fmlaLink="$AM$34" fmlaRange="$AR$33:$AR$35" noThreeD="1" sel="1" val="0"/>
</file>

<file path=xl/ctrlProps/ctrlProp61.xml><?xml version="1.0" encoding="utf-8"?>
<formControlPr xmlns="http://schemas.microsoft.com/office/spreadsheetml/2009/9/main" objectType="Drop" dropLines="3" dropStyle="combo" dx="22" fmlaLink="$AM$35" fmlaRange="$AS$33:$AS$42" noThreeD="1" sel="1" val="0"/>
</file>

<file path=xl/ctrlProps/ctrlProp62.xml><?xml version="1.0" encoding="utf-8"?>
<formControlPr xmlns="http://schemas.microsoft.com/office/spreadsheetml/2009/9/main" objectType="Drop" dropLines="6" dropStyle="combo" dx="22" fmlaLink="$AM$36" fmlaRange="$AT$33:$AT$38" noThreeD="1" sel="1" val="0"/>
</file>

<file path=xl/ctrlProps/ctrlProp63.xml><?xml version="1.0" encoding="utf-8"?>
<formControlPr xmlns="http://schemas.microsoft.com/office/spreadsheetml/2009/9/main" objectType="Drop" dropLines="5" dropStyle="combo" dx="22" fmlaLink="$AM$37" fmlaRange="$AU$33:$AU$37" noThreeD="1" sel="1" val="0"/>
</file>

<file path=xl/ctrlProps/ctrlProp64.xml><?xml version="1.0" encoding="utf-8"?>
<formControlPr xmlns="http://schemas.microsoft.com/office/spreadsheetml/2009/9/main" objectType="Drop" dropLines="6" dropStyle="combo" dx="22" fmlaRange="$AV$33:$AV$36" noThreeD="1" sel="1" val="0"/>
</file>

<file path=xl/ctrlProps/ctrlProp65.xml><?xml version="1.0" encoding="utf-8"?>
<formControlPr xmlns="http://schemas.microsoft.com/office/spreadsheetml/2009/9/main" objectType="Drop" dropLines="3" dropStyle="combo" dx="22" fmlaLink="$AM$39" fmlaRange="$AW$33:$AW$35" noThreeD="1" sel="1" val="0"/>
</file>

<file path=xl/ctrlProps/ctrlProp66.xml><?xml version="1.0" encoding="utf-8"?>
<formControlPr xmlns="http://schemas.microsoft.com/office/spreadsheetml/2009/9/main" objectType="Drop" dropLines="4" dropStyle="combo" dx="22" fmlaLink="$AM$40" fmlaRange="$AX$33:$AX$36" noThreeD="1" sel="1" val="0"/>
</file>

<file path=xl/ctrlProps/ctrlProp67.xml><?xml version="1.0" encoding="utf-8"?>
<formControlPr xmlns="http://schemas.microsoft.com/office/spreadsheetml/2009/9/main" objectType="Drop" dropLines="4" dropStyle="combo" dx="22" fmlaLink="$AM$41" fmlaRange="$AY$33:$AY$36" noThreeD="1" sel="1" val="0"/>
</file>

<file path=xl/ctrlProps/ctrlProp68.xml><?xml version="1.0" encoding="utf-8"?>
<formControlPr xmlns="http://schemas.microsoft.com/office/spreadsheetml/2009/9/main" objectType="Drop" dropLines="10" dropStyle="combo" dx="22" fmlaLink="$AM$42" fmlaRange="$AZ$33:$AZ$42" noThreeD="1" sel="1" val="0"/>
</file>

<file path=xl/ctrlProps/ctrlProp69.xml><?xml version="1.0" encoding="utf-8"?>
<formControlPr xmlns="http://schemas.microsoft.com/office/spreadsheetml/2009/9/main" objectType="Drop" dropLines="10" dropStyle="combo" dx="22" fmlaLink="$AM$43" fmlaRange="$BA$33:$BA$41" noThreeD="1" sel="1" val="0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fmlaLink="$AM$202" lockText="1" noThreeD="1"/>
</file>

<file path=xl/ctrlProps/ctrlProp76.xml><?xml version="1.0" encoding="utf-8"?>
<formControlPr xmlns="http://schemas.microsoft.com/office/spreadsheetml/2009/9/main" objectType="CheckBox" fmlaLink="$AN$202" lockText="1" noThreeD="1"/>
</file>

<file path=xl/ctrlProps/ctrlProp77.xml><?xml version="1.0" encoding="utf-8"?>
<formControlPr xmlns="http://schemas.microsoft.com/office/spreadsheetml/2009/9/main" objectType="CheckBox" fmlaLink="$AM$205" lockText="1" noThreeD="1"/>
</file>

<file path=xl/ctrlProps/ctrlProp78.xml><?xml version="1.0" encoding="utf-8"?>
<formControlPr xmlns="http://schemas.microsoft.com/office/spreadsheetml/2009/9/main" objectType="Drop" dropLines="3" dropStyle="combo" dx="22" fmlaLink="$AM$44" fmlaRange="$BE$8:$BE$10" noThreeD="1" sel="1" val="0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fmlaLink="$AM$86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</xdr:row>
          <xdr:rowOff>285750</xdr:rowOff>
        </xdr:from>
        <xdr:to>
          <xdr:col>15</xdr:col>
          <xdr:colOff>161925</xdr:colOff>
          <xdr:row>10</xdr:row>
          <xdr:rowOff>9525</xdr:rowOff>
        </xdr:to>
        <xdr:sp macro="" textlink="">
          <xdr:nvSpPr>
            <xdr:cNvPr id="1037" name="Drop Dow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247650</xdr:colOff>
          <xdr:row>10</xdr:row>
          <xdr:rowOff>9525</xdr:rowOff>
        </xdr:from>
        <xdr:to>
          <xdr:col>15</xdr:col>
          <xdr:colOff>161925</xdr:colOff>
          <xdr:row>11</xdr:row>
          <xdr:rowOff>9525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228600</xdr:colOff>
          <xdr:row>4</xdr:row>
          <xdr:rowOff>57150</xdr:rowOff>
        </xdr:from>
        <xdr:to>
          <xdr:col>22</xdr:col>
          <xdr:colOff>57150</xdr:colOff>
          <xdr:row>4</xdr:row>
          <xdr:rowOff>276225</xdr:rowOff>
        </xdr:to>
        <xdr:sp macro="" textlink="">
          <xdr:nvSpPr>
            <xdr:cNvPr id="1052" name="Check Box 28" descr="-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-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1</xdr:col>
          <xdr:colOff>57150</xdr:colOff>
          <xdr:row>91</xdr:row>
          <xdr:rowOff>9525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1</xdr:col>
          <xdr:colOff>57150</xdr:colOff>
          <xdr:row>92</xdr:row>
          <xdr:rowOff>9525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1</xdr:col>
          <xdr:colOff>57150</xdr:colOff>
          <xdr:row>93</xdr:row>
          <xdr:rowOff>9525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1</xdr:col>
          <xdr:colOff>57150</xdr:colOff>
          <xdr:row>95</xdr:row>
          <xdr:rowOff>9525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1</xdr:col>
          <xdr:colOff>57150</xdr:colOff>
          <xdr:row>96</xdr:row>
          <xdr:rowOff>9525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1</xdr:col>
          <xdr:colOff>57150</xdr:colOff>
          <xdr:row>106</xdr:row>
          <xdr:rowOff>9525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1</xdr:col>
          <xdr:colOff>57150</xdr:colOff>
          <xdr:row>109</xdr:row>
          <xdr:rowOff>38100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1</xdr:col>
          <xdr:colOff>57150</xdr:colOff>
          <xdr:row>110</xdr:row>
          <xdr:rowOff>38100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1</xdr:col>
          <xdr:colOff>57150</xdr:colOff>
          <xdr:row>113</xdr:row>
          <xdr:rowOff>28575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144</xdr:row>
          <xdr:rowOff>152400</xdr:rowOff>
        </xdr:from>
        <xdr:to>
          <xdr:col>2</xdr:col>
          <xdr:colOff>66675</xdr:colOff>
          <xdr:row>146</xdr:row>
          <xdr:rowOff>38100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146</xdr:row>
          <xdr:rowOff>152400</xdr:rowOff>
        </xdr:from>
        <xdr:to>
          <xdr:col>2</xdr:col>
          <xdr:colOff>66675</xdr:colOff>
          <xdr:row>148</xdr:row>
          <xdr:rowOff>38100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147</xdr:row>
          <xdr:rowOff>152400</xdr:rowOff>
        </xdr:from>
        <xdr:to>
          <xdr:col>1</xdr:col>
          <xdr:colOff>66675</xdr:colOff>
          <xdr:row>149</xdr:row>
          <xdr:rowOff>38100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fr-CA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148</xdr:row>
          <xdr:rowOff>152400</xdr:rowOff>
        </xdr:from>
        <xdr:to>
          <xdr:col>1</xdr:col>
          <xdr:colOff>66675</xdr:colOff>
          <xdr:row>150</xdr:row>
          <xdr:rowOff>38100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150</xdr:row>
          <xdr:rowOff>152400</xdr:rowOff>
        </xdr:from>
        <xdr:to>
          <xdr:col>2</xdr:col>
          <xdr:colOff>66675</xdr:colOff>
          <xdr:row>152</xdr:row>
          <xdr:rowOff>38100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151</xdr:row>
          <xdr:rowOff>152400</xdr:rowOff>
        </xdr:from>
        <xdr:to>
          <xdr:col>2</xdr:col>
          <xdr:colOff>66675</xdr:colOff>
          <xdr:row>153</xdr:row>
          <xdr:rowOff>38100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152</xdr:row>
          <xdr:rowOff>152400</xdr:rowOff>
        </xdr:from>
        <xdr:to>
          <xdr:col>1</xdr:col>
          <xdr:colOff>66675</xdr:colOff>
          <xdr:row>154</xdr:row>
          <xdr:rowOff>38100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155</xdr:row>
          <xdr:rowOff>152400</xdr:rowOff>
        </xdr:from>
        <xdr:to>
          <xdr:col>2</xdr:col>
          <xdr:colOff>66675</xdr:colOff>
          <xdr:row>157</xdr:row>
          <xdr:rowOff>38100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154</xdr:row>
          <xdr:rowOff>152400</xdr:rowOff>
        </xdr:from>
        <xdr:to>
          <xdr:col>2</xdr:col>
          <xdr:colOff>66675</xdr:colOff>
          <xdr:row>156</xdr:row>
          <xdr:rowOff>38100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176</xdr:row>
          <xdr:rowOff>152400</xdr:rowOff>
        </xdr:from>
        <xdr:to>
          <xdr:col>1</xdr:col>
          <xdr:colOff>66675</xdr:colOff>
          <xdr:row>178</xdr:row>
          <xdr:rowOff>38100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175</xdr:row>
          <xdr:rowOff>152400</xdr:rowOff>
        </xdr:from>
        <xdr:to>
          <xdr:col>1</xdr:col>
          <xdr:colOff>66675</xdr:colOff>
          <xdr:row>177</xdr:row>
          <xdr:rowOff>38100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174</xdr:row>
          <xdr:rowOff>152400</xdr:rowOff>
        </xdr:from>
        <xdr:to>
          <xdr:col>1</xdr:col>
          <xdr:colOff>66675</xdr:colOff>
          <xdr:row>176</xdr:row>
          <xdr:rowOff>38100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173</xdr:row>
          <xdr:rowOff>152400</xdr:rowOff>
        </xdr:from>
        <xdr:to>
          <xdr:col>1</xdr:col>
          <xdr:colOff>66675</xdr:colOff>
          <xdr:row>175</xdr:row>
          <xdr:rowOff>38100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172</xdr:row>
          <xdr:rowOff>152400</xdr:rowOff>
        </xdr:from>
        <xdr:to>
          <xdr:col>1</xdr:col>
          <xdr:colOff>66675</xdr:colOff>
          <xdr:row>174</xdr:row>
          <xdr:rowOff>38100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171</xdr:row>
          <xdr:rowOff>152400</xdr:rowOff>
        </xdr:from>
        <xdr:to>
          <xdr:col>2</xdr:col>
          <xdr:colOff>66675</xdr:colOff>
          <xdr:row>173</xdr:row>
          <xdr:rowOff>38100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170</xdr:row>
          <xdr:rowOff>152400</xdr:rowOff>
        </xdr:from>
        <xdr:to>
          <xdr:col>2</xdr:col>
          <xdr:colOff>66675</xdr:colOff>
          <xdr:row>172</xdr:row>
          <xdr:rowOff>38100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169</xdr:row>
          <xdr:rowOff>152400</xdr:rowOff>
        </xdr:from>
        <xdr:to>
          <xdr:col>2</xdr:col>
          <xdr:colOff>66675</xdr:colOff>
          <xdr:row>171</xdr:row>
          <xdr:rowOff>38100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168</xdr:row>
          <xdr:rowOff>152400</xdr:rowOff>
        </xdr:from>
        <xdr:to>
          <xdr:col>2</xdr:col>
          <xdr:colOff>66675</xdr:colOff>
          <xdr:row>170</xdr:row>
          <xdr:rowOff>38100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166</xdr:row>
          <xdr:rowOff>152400</xdr:rowOff>
        </xdr:from>
        <xdr:to>
          <xdr:col>1</xdr:col>
          <xdr:colOff>66675</xdr:colOff>
          <xdr:row>168</xdr:row>
          <xdr:rowOff>38100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165</xdr:row>
          <xdr:rowOff>152400</xdr:rowOff>
        </xdr:from>
        <xdr:to>
          <xdr:col>1</xdr:col>
          <xdr:colOff>66675</xdr:colOff>
          <xdr:row>167</xdr:row>
          <xdr:rowOff>38100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164</xdr:row>
          <xdr:rowOff>152400</xdr:rowOff>
        </xdr:from>
        <xdr:to>
          <xdr:col>2</xdr:col>
          <xdr:colOff>66675</xdr:colOff>
          <xdr:row>166</xdr:row>
          <xdr:rowOff>38100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163</xdr:row>
          <xdr:rowOff>152400</xdr:rowOff>
        </xdr:from>
        <xdr:to>
          <xdr:col>2</xdr:col>
          <xdr:colOff>66675</xdr:colOff>
          <xdr:row>165</xdr:row>
          <xdr:rowOff>38100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161</xdr:row>
          <xdr:rowOff>152400</xdr:rowOff>
        </xdr:from>
        <xdr:to>
          <xdr:col>2</xdr:col>
          <xdr:colOff>66675</xdr:colOff>
          <xdr:row>163</xdr:row>
          <xdr:rowOff>38100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160</xdr:row>
          <xdr:rowOff>152400</xdr:rowOff>
        </xdr:from>
        <xdr:to>
          <xdr:col>2</xdr:col>
          <xdr:colOff>66675</xdr:colOff>
          <xdr:row>162</xdr:row>
          <xdr:rowOff>38100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159</xdr:row>
          <xdr:rowOff>152400</xdr:rowOff>
        </xdr:from>
        <xdr:to>
          <xdr:col>2</xdr:col>
          <xdr:colOff>66675</xdr:colOff>
          <xdr:row>161</xdr:row>
          <xdr:rowOff>38100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158</xdr:row>
          <xdr:rowOff>152400</xdr:rowOff>
        </xdr:from>
        <xdr:to>
          <xdr:col>2</xdr:col>
          <xdr:colOff>66675</xdr:colOff>
          <xdr:row>160</xdr:row>
          <xdr:rowOff>38100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156</xdr:row>
          <xdr:rowOff>152400</xdr:rowOff>
        </xdr:from>
        <xdr:to>
          <xdr:col>2</xdr:col>
          <xdr:colOff>66675</xdr:colOff>
          <xdr:row>158</xdr:row>
          <xdr:rowOff>38100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145</xdr:row>
          <xdr:rowOff>152400</xdr:rowOff>
        </xdr:from>
        <xdr:to>
          <xdr:col>2</xdr:col>
          <xdr:colOff>66675</xdr:colOff>
          <xdr:row>147</xdr:row>
          <xdr:rowOff>38100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1</xdr:col>
          <xdr:colOff>57150</xdr:colOff>
          <xdr:row>115</xdr:row>
          <xdr:rowOff>9525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1</xdr:col>
          <xdr:colOff>57150</xdr:colOff>
          <xdr:row>117</xdr:row>
          <xdr:rowOff>9525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7</xdr:row>
          <xdr:rowOff>0</xdr:rowOff>
        </xdr:from>
        <xdr:to>
          <xdr:col>15</xdr:col>
          <xdr:colOff>152400</xdr:colOff>
          <xdr:row>8</xdr:row>
          <xdr:rowOff>9525</xdr:rowOff>
        </xdr:to>
        <xdr:sp macro="" textlink="">
          <xdr:nvSpPr>
            <xdr:cNvPr id="1214" name="Drop Down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8</xdr:row>
          <xdr:rowOff>0</xdr:rowOff>
        </xdr:from>
        <xdr:to>
          <xdr:col>15</xdr:col>
          <xdr:colOff>161925</xdr:colOff>
          <xdr:row>9</xdr:row>
          <xdr:rowOff>9525</xdr:rowOff>
        </xdr:to>
        <xdr:sp macro="" textlink="">
          <xdr:nvSpPr>
            <xdr:cNvPr id="1215" name="Drop Down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11</xdr:row>
          <xdr:rowOff>0</xdr:rowOff>
        </xdr:from>
        <xdr:to>
          <xdr:col>15</xdr:col>
          <xdr:colOff>161925</xdr:colOff>
          <xdr:row>12</xdr:row>
          <xdr:rowOff>9525</xdr:rowOff>
        </xdr:to>
        <xdr:sp macro="" textlink="">
          <xdr:nvSpPr>
            <xdr:cNvPr id="1217" name="Drop Down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12</xdr:row>
          <xdr:rowOff>0</xdr:rowOff>
        </xdr:from>
        <xdr:to>
          <xdr:col>15</xdr:col>
          <xdr:colOff>161925</xdr:colOff>
          <xdr:row>13</xdr:row>
          <xdr:rowOff>9525</xdr:rowOff>
        </xdr:to>
        <xdr:sp macro="" textlink="">
          <xdr:nvSpPr>
            <xdr:cNvPr id="1218" name="Drop Down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13</xdr:row>
          <xdr:rowOff>0</xdr:rowOff>
        </xdr:from>
        <xdr:to>
          <xdr:col>15</xdr:col>
          <xdr:colOff>161925</xdr:colOff>
          <xdr:row>14</xdr:row>
          <xdr:rowOff>9525</xdr:rowOff>
        </xdr:to>
        <xdr:sp macro="" textlink="">
          <xdr:nvSpPr>
            <xdr:cNvPr id="1219" name="Drop Down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</xdr:row>
          <xdr:rowOff>0</xdr:rowOff>
        </xdr:from>
        <xdr:to>
          <xdr:col>15</xdr:col>
          <xdr:colOff>161925</xdr:colOff>
          <xdr:row>15</xdr:row>
          <xdr:rowOff>9525</xdr:rowOff>
        </xdr:to>
        <xdr:sp macro="" textlink="">
          <xdr:nvSpPr>
            <xdr:cNvPr id="1220" name="Drop Down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15</xdr:row>
          <xdr:rowOff>0</xdr:rowOff>
        </xdr:from>
        <xdr:to>
          <xdr:col>15</xdr:col>
          <xdr:colOff>161925</xdr:colOff>
          <xdr:row>16</xdr:row>
          <xdr:rowOff>9525</xdr:rowOff>
        </xdr:to>
        <xdr:sp macro="" textlink="">
          <xdr:nvSpPr>
            <xdr:cNvPr id="1221" name="Drop Down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16</xdr:row>
          <xdr:rowOff>0</xdr:rowOff>
        </xdr:from>
        <xdr:to>
          <xdr:col>15</xdr:col>
          <xdr:colOff>161925</xdr:colOff>
          <xdr:row>17</xdr:row>
          <xdr:rowOff>9525</xdr:rowOff>
        </xdr:to>
        <xdr:sp macro="" textlink="">
          <xdr:nvSpPr>
            <xdr:cNvPr id="1222" name="Drop Down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18</xdr:row>
          <xdr:rowOff>0</xdr:rowOff>
        </xdr:from>
        <xdr:to>
          <xdr:col>15</xdr:col>
          <xdr:colOff>161925</xdr:colOff>
          <xdr:row>19</xdr:row>
          <xdr:rowOff>9525</xdr:rowOff>
        </xdr:to>
        <xdr:sp macro="" textlink="">
          <xdr:nvSpPr>
            <xdr:cNvPr id="1223" name="Drop Down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19</xdr:row>
          <xdr:rowOff>0</xdr:rowOff>
        </xdr:from>
        <xdr:to>
          <xdr:col>15</xdr:col>
          <xdr:colOff>161925</xdr:colOff>
          <xdr:row>20</xdr:row>
          <xdr:rowOff>9525</xdr:rowOff>
        </xdr:to>
        <xdr:sp macro="" textlink="">
          <xdr:nvSpPr>
            <xdr:cNvPr id="1224" name="Drop Down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</xdr:row>
          <xdr:rowOff>0</xdr:rowOff>
        </xdr:from>
        <xdr:to>
          <xdr:col>15</xdr:col>
          <xdr:colOff>161925</xdr:colOff>
          <xdr:row>21</xdr:row>
          <xdr:rowOff>9525</xdr:rowOff>
        </xdr:to>
        <xdr:sp macro="" textlink="">
          <xdr:nvSpPr>
            <xdr:cNvPr id="1225" name="Drop Down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</xdr:row>
          <xdr:rowOff>0</xdr:rowOff>
        </xdr:from>
        <xdr:to>
          <xdr:col>15</xdr:col>
          <xdr:colOff>161925</xdr:colOff>
          <xdr:row>22</xdr:row>
          <xdr:rowOff>9525</xdr:rowOff>
        </xdr:to>
        <xdr:sp macro="" textlink="">
          <xdr:nvSpPr>
            <xdr:cNvPr id="1226" name="Drop Down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</xdr:row>
          <xdr:rowOff>0</xdr:rowOff>
        </xdr:from>
        <xdr:to>
          <xdr:col>15</xdr:col>
          <xdr:colOff>161925</xdr:colOff>
          <xdr:row>23</xdr:row>
          <xdr:rowOff>9525</xdr:rowOff>
        </xdr:to>
        <xdr:sp macro="" textlink="">
          <xdr:nvSpPr>
            <xdr:cNvPr id="1227" name="Drop Down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23</xdr:row>
          <xdr:rowOff>0</xdr:rowOff>
        </xdr:from>
        <xdr:to>
          <xdr:col>15</xdr:col>
          <xdr:colOff>161925</xdr:colOff>
          <xdr:row>24</xdr:row>
          <xdr:rowOff>9525</xdr:rowOff>
        </xdr:to>
        <xdr:sp macro="" textlink="">
          <xdr:nvSpPr>
            <xdr:cNvPr id="1228" name="Drop Down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</xdr:row>
          <xdr:rowOff>0</xdr:rowOff>
        </xdr:from>
        <xdr:to>
          <xdr:col>15</xdr:col>
          <xdr:colOff>161925</xdr:colOff>
          <xdr:row>31</xdr:row>
          <xdr:rowOff>0</xdr:rowOff>
        </xdr:to>
        <xdr:sp macro="" textlink="">
          <xdr:nvSpPr>
            <xdr:cNvPr id="1237" name="Drop Down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31</xdr:row>
          <xdr:rowOff>0</xdr:rowOff>
        </xdr:from>
        <xdr:to>
          <xdr:col>15</xdr:col>
          <xdr:colOff>161925</xdr:colOff>
          <xdr:row>32</xdr:row>
          <xdr:rowOff>0</xdr:rowOff>
        </xdr:to>
        <xdr:sp macro="" textlink="">
          <xdr:nvSpPr>
            <xdr:cNvPr id="1238" name="Drop Down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32</xdr:row>
          <xdr:rowOff>0</xdr:rowOff>
        </xdr:from>
        <xdr:to>
          <xdr:col>15</xdr:col>
          <xdr:colOff>161925</xdr:colOff>
          <xdr:row>33</xdr:row>
          <xdr:rowOff>0</xdr:rowOff>
        </xdr:to>
        <xdr:sp macro="" textlink="">
          <xdr:nvSpPr>
            <xdr:cNvPr id="1239" name="Drop Down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33</xdr:row>
          <xdr:rowOff>0</xdr:rowOff>
        </xdr:from>
        <xdr:to>
          <xdr:col>15</xdr:col>
          <xdr:colOff>161925</xdr:colOff>
          <xdr:row>34</xdr:row>
          <xdr:rowOff>0</xdr:rowOff>
        </xdr:to>
        <xdr:sp macro="" textlink="">
          <xdr:nvSpPr>
            <xdr:cNvPr id="1240" name="Drop Down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34</xdr:row>
          <xdr:rowOff>0</xdr:rowOff>
        </xdr:from>
        <xdr:to>
          <xdr:col>15</xdr:col>
          <xdr:colOff>161925</xdr:colOff>
          <xdr:row>35</xdr:row>
          <xdr:rowOff>0</xdr:rowOff>
        </xdr:to>
        <xdr:sp macro="" textlink="">
          <xdr:nvSpPr>
            <xdr:cNvPr id="1241" name="Drop Down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35</xdr:row>
          <xdr:rowOff>0</xdr:rowOff>
        </xdr:from>
        <xdr:to>
          <xdr:col>15</xdr:col>
          <xdr:colOff>161925</xdr:colOff>
          <xdr:row>36</xdr:row>
          <xdr:rowOff>0</xdr:rowOff>
        </xdr:to>
        <xdr:sp macro="" textlink="">
          <xdr:nvSpPr>
            <xdr:cNvPr id="1242" name="Drop Down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36</xdr:row>
          <xdr:rowOff>0</xdr:rowOff>
        </xdr:from>
        <xdr:to>
          <xdr:col>15</xdr:col>
          <xdr:colOff>161925</xdr:colOff>
          <xdr:row>37</xdr:row>
          <xdr:rowOff>0</xdr:rowOff>
        </xdr:to>
        <xdr:sp macro="" textlink="">
          <xdr:nvSpPr>
            <xdr:cNvPr id="1243" name="Drop Down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37</xdr:row>
          <xdr:rowOff>0</xdr:rowOff>
        </xdr:from>
        <xdr:to>
          <xdr:col>15</xdr:col>
          <xdr:colOff>161925</xdr:colOff>
          <xdr:row>38</xdr:row>
          <xdr:rowOff>0</xdr:rowOff>
        </xdr:to>
        <xdr:sp macro="" textlink="">
          <xdr:nvSpPr>
            <xdr:cNvPr id="1244" name="Drop Down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38</xdr:row>
          <xdr:rowOff>0</xdr:rowOff>
        </xdr:from>
        <xdr:to>
          <xdr:col>15</xdr:col>
          <xdr:colOff>161925</xdr:colOff>
          <xdr:row>39</xdr:row>
          <xdr:rowOff>0</xdr:rowOff>
        </xdr:to>
        <xdr:sp macro="" textlink="">
          <xdr:nvSpPr>
            <xdr:cNvPr id="1245" name="Drop Down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39</xdr:row>
          <xdr:rowOff>0</xdr:rowOff>
        </xdr:from>
        <xdr:to>
          <xdr:col>15</xdr:col>
          <xdr:colOff>161925</xdr:colOff>
          <xdr:row>40</xdr:row>
          <xdr:rowOff>0</xdr:rowOff>
        </xdr:to>
        <xdr:sp macro="" textlink="">
          <xdr:nvSpPr>
            <xdr:cNvPr id="1246" name="Drop Down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40</xdr:row>
          <xdr:rowOff>0</xdr:rowOff>
        </xdr:from>
        <xdr:to>
          <xdr:col>15</xdr:col>
          <xdr:colOff>161925</xdr:colOff>
          <xdr:row>41</xdr:row>
          <xdr:rowOff>0</xdr:rowOff>
        </xdr:to>
        <xdr:sp macro="" textlink="">
          <xdr:nvSpPr>
            <xdr:cNvPr id="1247" name="Drop Down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41</xdr:row>
          <xdr:rowOff>0</xdr:rowOff>
        </xdr:from>
        <xdr:to>
          <xdr:col>15</xdr:col>
          <xdr:colOff>161925</xdr:colOff>
          <xdr:row>42</xdr:row>
          <xdr:rowOff>0</xdr:rowOff>
        </xdr:to>
        <xdr:sp macro="" textlink="">
          <xdr:nvSpPr>
            <xdr:cNvPr id="1248" name="Drop Down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42</xdr:row>
          <xdr:rowOff>0</xdr:rowOff>
        </xdr:from>
        <xdr:to>
          <xdr:col>15</xdr:col>
          <xdr:colOff>161925</xdr:colOff>
          <xdr:row>43</xdr:row>
          <xdr:rowOff>0</xdr:rowOff>
        </xdr:to>
        <xdr:sp macro="" textlink="">
          <xdr:nvSpPr>
            <xdr:cNvPr id="1249" name="Drop Down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44</xdr:row>
          <xdr:rowOff>76200</xdr:rowOff>
        </xdr:from>
        <xdr:to>
          <xdr:col>17</xdr:col>
          <xdr:colOff>95250</xdr:colOff>
          <xdr:row>45</xdr:row>
          <xdr:rowOff>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19050</xdr:colOff>
          <xdr:row>44</xdr:row>
          <xdr:rowOff>76200</xdr:rowOff>
        </xdr:from>
        <xdr:to>
          <xdr:col>23</xdr:col>
          <xdr:colOff>76200</xdr:colOff>
          <xdr:row>45</xdr:row>
          <xdr:rowOff>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19050</xdr:colOff>
          <xdr:row>44</xdr:row>
          <xdr:rowOff>76200</xdr:rowOff>
        </xdr:from>
        <xdr:to>
          <xdr:col>26</xdr:col>
          <xdr:colOff>76200</xdr:colOff>
          <xdr:row>45</xdr:row>
          <xdr:rowOff>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28575</xdr:colOff>
          <xdr:row>44</xdr:row>
          <xdr:rowOff>76200</xdr:rowOff>
        </xdr:from>
        <xdr:to>
          <xdr:col>31</xdr:col>
          <xdr:colOff>85725</xdr:colOff>
          <xdr:row>45</xdr:row>
          <xdr:rowOff>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19050</xdr:colOff>
          <xdr:row>44</xdr:row>
          <xdr:rowOff>76200</xdr:rowOff>
        </xdr:from>
        <xdr:to>
          <xdr:col>29</xdr:col>
          <xdr:colOff>76200</xdr:colOff>
          <xdr:row>45</xdr:row>
          <xdr:rowOff>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200</xdr:row>
          <xdr:rowOff>180975</xdr:rowOff>
        </xdr:from>
        <xdr:to>
          <xdr:col>19</xdr:col>
          <xdr:colOff>171450</xdr:colOff>
          <xdr:row>202</xdr:row>
          <xdr:rowOff>28575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28575</xdr:colOff>
          <xdr:row>200</xdr:row>
          <xdr:rowOff>180975</xdr:rowOff>
        </xdr:from>
        <xdr:to>
          <xdr:col>21</xdr:col>
          <xdr:colOff>85725</xdr:colOff>
          <xdr:row>202</xdr:row>
          <xdr:rowOff>19050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219075</xdr:colOff>
          <xdr:row>203</xdr:row>
          <xdr:rowOff>161925</xdr:rowOff>
        </xdr:from>
        <xdr:to>
          <xdr:col>22</xdr:col>
          <xdr:colOff>28575</xdr:colOff>
          <xdr:row>205</xdr:row>
          <xdr:rowOff>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43</xdr:row>
          <xdr:rowOff>0</xdr:rowOff>
        </xdr:from>
        <xdr:to>
          <xdr:col>15</xdr:col>
          <xdr:colOff>161925</xdr:colOff>
          <xdr:row>44</xdr:row>
          <xdr:rowOff>0</xdr:rowOff>
        </xdr:to>
        <xdr:sp macro="" textlink="">
          <xdr:nvSpPr>
            <xdr:cNvPr id="1258" name="Drop Down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19050</xdr:colOff>
          <xdr:row>45</xdr:row>
          <xdr:rowOff>76200</xdr:rowOff>
        </xdr:from>
        <xdr:to>
          <xdr:col>26</xdr:col>
          <xdr:colOff>76200</xdr:colOff>
          <xdr:row>46</xdr:row>
          <xdr:rowOff>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28575</xdr:colOff>
          <xdr:row>45</xdr:row>
          <xdr:rowOff>76200</xdr:rowOff>
        </xdr:from>
        <xdr:to>
          <xdr:col>31</xdr:col>
          <xdr:colOff>85725</xdr:colOff>
          <xdr:row>46</xdr:row>
          <xdr:rowOff>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7</xdr:row>
          <xdr:rowOff>28575</xdr:rowOff>
        </xdr:from>
        <xdr:to>
          <xdr:col>18</xdr:col>
          <xdr:colOff>95250</xdr:colOff>
          <xdr:row>7</xdr:row>
          <xdr:rowOff>247650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28575</xdr:colOff>
          <xdr:row>9</xdr:row>
          <xdr:rowOff>38100</xdr:rowOff>
        </xdr:from>
        <xdr:to>
          <xdr:col>18</xdr:col>
          <xdr:colOff>85725</xdr:colOff>
          <xdr:row>9</xdr:row>
          <xdr:rowOff>257175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13</xdr:row>
          <xdr:rowOff>28575</xdr:rowOff>
        </xdr:from>
        <xdr:to>
          <xdr:col>18</xdr:col>
          <xdr:colOff>104775</xdr:colOff>
          <xdr:row>13</xdr:row>
          <xdr:rowOff>247650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15</xdr:row>
          <xdr:rowOff>28575</xdr:rowOff>
        </xdr:from>
        <xdr:to>
          <xdr:col>18</xdr:col>
          <xdr:colOff>95250</xdr:colOff>
          <xdr:row>15</xdr:row>
          <xdr:rowOff>247650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11</xdr:row>
          <xdr:rowOff>28575</xdr:rowOff>
        </xdr:from>
        <xdr:to>
          <xdr:col>18</xdr:col>
          <xdr:colOff>114300</xdr:colOff>
          <xdr:row>11</xdr:row>
          <xdr:rowOff>247650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142875</xdr:colOff>
      <xdr:row>5</xdr:row>
      <xdr:rowOff>47625</xdr:rowOff>
    </xdr:from>
    <xdr:to>
      <xdr:col>17</xdr:col>
      <xdr:colOff>142875</xdr:colOff>
      <xdr:row>6</xdr:row>
      <xdr:rowOff>16565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527C765C-6585-76DA-7A77-11DED2BC80FC}"/>
            </a:ext>
          </a:extLst>
        </xdr:cNvPr>
        <xdr:cNvCxnSpPr/>
      </xdr:nvCxnSpPr>
      <xdr:spPr>
        <a:xfrm>
          <a:off x="4367005" y="1298299"/>
          <a:ext cx="0" cy="258831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84</xdr:row>
          <xdr:rowOff>76200</xdr:rowOff>
        </xdr:from>
        <xdr:to>
          <xdr:col>2</xdr:col>
          <xdr:colOff>200025</xdr:colOff>
          <xdr:row>85</xdr:row>
          <xdr:rowOff>85725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447675</xdr:colOff>
      <xdr:row>1</xdr:row>
      <xdr:rowOff>0</xdr:rowOff>
    </xdr:from>
    <xdr:to>
      <xdr:col>7</xdr:col>
      <xdr:colOff>847725</xdr:colOff>
      <xdr:row>3</xdr:row>
      <xdr:rowOff>76200</xdr:rowOff>
    </xdr:to>
    <xdr:pic>
      <xdr:nvPicPr>
        <xdr:cNvPr id="2" name="Picture 1" descr="Etoile">
          <a:extLst>
            <a:ext uri="{FF2B5EF4-FFF2-40B4-BE49-F238E27FC236}">
              <a16:creationId xmlns:a16="http://schemas.microsoft.com/office/drawing/2014/main" id="{C3F5BBEF-849B-4A0A-B2DB-E0546A270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47625"/>
          <a:ext cx="4000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72258</xdr:colOff>
      <xdr:row>0</xdr:row>
      <xdr:rowOff>39412</xdr:rowOff>
    </xdr:from>
    <xdr:ext cx="2267682" cy="724103"/>
    <xdr:pic>
      <xdr:nvPicPr>
        <xdr:cNvPr id="2" name="Image 1">
          <a:extLst>
            <a:ext uri="{FF2B5EF4-FFF2-40B4-BE49-F238E27FC236}">
              <a16:creationId xmlns:a16="http://schemas.microsoft.com/office/drawing/2014/main" id="{58D4308A-2466-4B93-A584-DF7562270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58" y="39412"/>
          <a:ext cx="2267682" cy="7241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4">
    <tabColor rgb="FFFF0000"/>
  </sheetPr>
  <dimension ref="A1:BH218"/>
  <sheetViews>
    <sheetView tabSelected="1" view="pageBreakPreview" topLeftCell="A154" zoomScaleNormal="85" zoomScaleSheetLayoutView="100" workbookViewId="0">
      <selection activeCell="C196" sqref="C196:AB196"/>
    </sheetView>
  </sheetViews>
  <sheetFormatPr baseColWidth="10" defaultColWidth="11.42578125" defaultRowHeight="15" x14ac:dyDescent="0.25"/>
  <cols>
    <col min="1" max="37" width="3.7109375" customWidth="1"/>
    <col min="38" max="38" width="1.28515625" customWidth="1"/>
    <col min="39" max="39" width="3.42578125" customWidth="1"/>
    <col min="40" max="40" width="4.28515625" style="2" customWidth="1"/>
    <col min="41" max="56" width="29.140625" customWidth="1"/>
  </cols>
  <sheetData>
    <row r="1" spans="1:57" x14ac:dyDescent="0.25">
      <c r="AK1" s="5" t="s">
        <v>200</v>
      </c>
      <c r="AO1" s="2">
        <v>1</v>
      </c>
      <c r="AP1" s="2">
        <v>2</v>
      </c>
      <c r="AQ1" s="2">
        <v>3</v>
      </c>
      <c r="AR1" s="2">
        <v>4</v>
      </c>
      <c r="AS1" s="2">
        <v>5</v>
      </c>
      <c r="AT1" s="2">
        <v>6</v>
      </c>
      <c r="AU1" s="2">
        <v>7</v>
      </c>
      <c r="AV1" s="2">
        <v>8</v>
      </c>
      <c r="AW1" s="2">
        <v>9</v>
      </c>
      <c r="AX1" s="2">
        <v>10</v>
      </c>
      <c r="AY1" s="2">
        <v>11</v>
      </c>
      <c r="AZ1" s="2">
        <v>12</v>
      </c>
      <c r="BA1" s="2">
        <v>13</v>
      </c>
      <c r="BB1" s="2">
        <v>14</v>
      </c>
      <c r="BC1" s="2">
        <v>15</v>
      </c>
      <c r="BD1" s="2">
        <v>16</v>
      </c>
    </row>
    <row r="2" spans="1:57" s="1" customFormat="1" x14ac:dyDescent="0.25">
      <c r="A2" s="440" t="s">
        <v>214</v>
      </c>
      <c r="B2" s="441"/>
      <c r="C2" s="441"/>
      <c r="D2" s="441"/>
      <c r="E2" s="441"/>
      <c r="F2" s="441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  <c r="R2" s="473"/>
      <c r="S2" s="473"/>
      <c r="T2" s="473"/>
      <c r="U2" s="473"/>
      <c r="V2" s="473"/>
      <c r="W2" s="473"/>
      <c r="X2" s="473"/>
      <c r="Y2" s="473"/>
      <c r="Z2" s="473"/>
      <c r="AA2" s="441"/>
      <c r="AB2" s="441"/>
      <c r="AC2" s="441"/>
      <c r="AD2" s="441"/>
      <c r="AE2" s="441"/>
      <c r="AF2" s="441"/>
      <c r="AG2" s="441"/>
      <c r="AH2" s="441"/>
      <c r="AI2" s="441"/>
      <c r="AJ2" s="441"/>
      <c r="AK2" s="442"/>
      <c r="AL2"/>
      <c r="AM2"/>
      <c r="AN2" s="2"/>
      <c r="AO2" s="587" t="s">
        <v>15</v>
      </c>
      <c r="AP2" s="587"/>
      <c r="AQ2" s="587"/>
      <c r="AR2" s="587"/>
      <c r="AS2" s="587"/>
      <c r="AT2" s="587"/>
    </row>
    <row r="3" spans="1:57" ht="22.5" customHeight="1" thickBot="1" x14ac:dyDescent="0.4">
      <c r="A3" s="367" t="s">
        <v>16</v>
      </c>
      <c r="B3" s="367"/>
      <c r="C3" s="367"/>
      <c r="D3" s="367"/>
      <c r="E3" s="367"/>
      <c r="F3" s="367"/>
      <c r="G3" s="364"/>
      <c r="H3" s="365"/>
      <c r="I3" s="365"/>
      <c r="J3" s="365"/>
      <c r="K3" s="365"/>
      <c r="L3" s="365"/>
      <c r="M3" s="365"/>
      <c r="N3" s="365"/>
      <c r="O3" s="365"/>
      <c r="P3" s="365"/>
      <c r="Q3" s="365"/>
      <c r="R3" s="365"/>
      <c r="S3" s="365"/>
      <c r="T3" s="365"/>
      <c r="U3" s="365"/>
      <c r="V3" s="365"/>
      <c r="W3" s="365"/>
      <c r="X3" s="365"/>
      <c r="Y3" s="365"/>
      <c r="Z3" s="366"/>
      <c r="AA3" s="368" t="s">
        <v>17</v>
      </c>
      <c r="AB3" s="369"/>
      <c r="AC3" s="369"/>
      <c r="AD3" s="369"/>
      <c r="AE3" s="369"/>
      <c r="AF3" s="370"/>
      <c r="AG3" s="566"/>
      <c r="AH3" s="567"/>
      <c r="AI3" s="567"/>
      <c r="AJ3" s="567"/>
      <c r="AK3" s="568"/>
      <c r="AL3" s="8"/>
      <c r="AM3" s="8"/>
      <c r="AN3" s="8"/>
      <c r="AO3" t="s">
        <v>18</v>
      </c>
    </row>
    <row r="4" spans="1:57" ht="22.5" customHeight="1" thickTop="1" thickBot="1" x14ac:dyDescent="0.3">
      <c r="A4" s="367" t="s">
        <v>19</v>
      </c>
      <c r="B4" s="367"/>
      <c r="C4" s="367"/>
      <c r="D4" s="367"/>
      <c r="E4" s="367"/>
      <c r="F4" s="367"/>
      <c r="G4" s="364"/>
      <c r="H4" s="379"/>
      <c r="I4" s="379"/>
      <c r="J4" s="379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6"/>
      <c r="AE4" s="17"/>
      <c r="AO4" s="44" t="s">
        <v>22</v>
      </c>
      <c r="AP4" s="45" t="s">
        <v>261</v>
      </c>
      <c r="AQ4" s="44" t="s">
        <v>23</v>
      </c>
      <c r="AR4" s="44" t="s">
        <v>73</v>
      </c>
      <c r="AS4" s="44" t="s">
        <v>20</v>
      </c>
      <c r="AT4" s="44" t="s">
        <v>21</v>
      </c>
      <c r="AU4" s="44" t="s">
        <v>72</v>
      </c>
      <c r="AV4" s="44" t="s">
        <v>70</v>
      </c>
      <c r="AW4" s="44" t="s">
        <v>287</v>
      </c>
      <c r="AX4" s="44" t="s">
        <v>71</v>
      </c>
      <c r="AY4" s="44" t="s">
        <v>262</v>
      </c>
      <c r="AZ4" s="44" t="s">
        <v>363</v>
      </c>
      <c r="BA4" s="44" t="s">
        <v>362</v>
      </c>
      <c r="BB4" s="44" t="s">
        <v>263</v>
      </c>
      <c r="BC4" s="44" t="s">
        <v>25</v>
      </c>
      <c r="BD4" s="44" t="s">
        <v>88</v>
      </c>
      <c r="BE4" s="44" t="s">
        <v>539</v>
      </c>
    </row>
    <row r="5" spans="1:57" ht="22.5" customHeight="1" thickTop="1" thickBot="1" x14ac:dyDescent="0.3">
      <c r="A5" t="s">
        <v>26</v>
      </c>
      <c r="H5" s="476">
        <v>0</v>
      </c>
      <c r="I5" s="477"/>
      <c r="J5" s="478"/>
      <c r="K5" t="s">
        <v>27</v>
      </c>
      <c r="L5" t="s">
        <v>28</v>
      </c>
      <c r="O5" s="479">
        <f>IF(H5&gt;119,175,IF(H5&gt;89,53.89,IF(H5&gt;65,47.63,0)))</f>
        <v>0</v>
      </c>
      <c r="P5" s="480"/>
      <c r="Q5" s="481"/>
      <c r="R5" s="481"/>
      <c r="S5" s="482"/>
      <c r="T5" s="61" t="b">
        <v>0</v>
      </c>
      <c r="U5" s="264">
        <f>IF(T5=FALSE,1,0)</f>
        <v>1</v>
      </c>
      <c r="V5" s="62"/>
      <c r="W5" s="63" t="s">
        <v>201</v>
      </c>
      <c r="AA5" s="463" t="s">
        <v>35</v>
      </c>
      <c r="AB5" s="464"/>
      <c r="AC5" s="464"/>
      <c r="AD5" s="464"/>
      <c r="AE5" s="465"/>
      <c r="AF5" s="466">
        <f>C56</f>
        <v>0</v>
      </c>
      <c r="AG5" s="467"/>
      <c r="AH5" s="467"/>
      <c r="AI5" s="467"/>
      <c r="AJ5" s="467"/>
      <c r="AK5" s="468"/>
      <c r="AL5" s="2"/>
      <c r="AM5" s="2"/>
    </row>
    <row r="6" spans="1:57" ht="22.5" customHeight="1" thickTop="1" x14ac:dyDescent="0.25">
      <c r="A6" s="315" t="s">
        <v>310</v>
      </c>
      <c r="B6" s="315"/>
      <c r="C6" s="315"/>
      <c r="D6" s="315"/>
      <c r="E6" s="315"/>
      <c r="F6" s="315"/>
      <c r="G6" s="315"/>
      <c r="H6" s="372"/>
      <c r="I6" s="372"/>
      <c r="J6" s="372"/>
      <c r="K6" s="315"/>
      <c r="L6" s="315"/>
      <c r="M6" s="315"/>
      <c r="N6" s="315"/>
      <c r="O6" s="315"/>
      <c r="P6" s="315"/>
      <c r="R6" s="2"/>
      <c r="S6" s="276" t="s">
        <v>665</v>
      </c>
      <c r="T6" s="276"/>
      <c r="U6" s="276"/>
      <c r="V6" s="276"/>
      <c r="W6" s="276"/>
      <c r="X6" s="276"/>
      <c r="Y6" s="276"/>
      <c r="AA6" s="491" t="s">
        <v>220</v>
      </c>
      <c r="AB6" s="492"/>
      <c r="AC6" s="492"/>
      <c r="AD6" s="492"/>
      <c r="AE6" s="493"/>
      <c r="AF6" s="445"/>
      <c r="AG6" s="446"/>
      <c r="AH6" s="446"/>
      <c r="AI6" s="446"/>
      <c r="AJ6" s="446"/>
      <c r="AK6" s="447"/>
      <c r="AL6" s="7"/>
      <c r="AM6" s="46" t="s">
        <v>118</v>
      </c>
      <c r="AX6" s="38"/>
    </row>
    <row r="7" spans="1:57" ht="6" customHeight="1" x14ac:dyDescent="0.25">
      <c r="R7" s="2"/>
      <c r="AA7" s="38"/>
      <c r="AB7" s="38"/>
      <c r="AC7" s="38"/>
      <c r="AD7" s="38"/>
      <c r="AE7" s="38"/>
      <c r="AF7" s="17"/>
      <c r="AG7" s="17"/>
      <c r="AH7" s="17"/>
      <c r="AI7" s="17"/>
      <c r="AJ7" s="17"/>
      <c r="AK7" s="17"/>
      <c r="AL7" s="7"/>
      <c r="AM7" s="7"/>
    </row>
    <row r="8" spans="1:57" ht="22.5" customHeight="1" x14ac:dyDescent="0.3">
      <c r="A8" s="344" t="s">
        <v>45</v>
      </c>
      <c r="B8" s="344"/>
      <c r="C8" s="344"/>
      <c r="D8" s="344"/>
      <c r="E8" s="344"/>
      <c r="F8" s="344"/>
      <c r="G8" s="344"/>
      <c r="H8" s="344"/>
      <c r="I8" s="371"/>
      <c r="J8" s="371"/>
      <c r="K8" s="371"/>
      <c r="L8" s="371"/>
      <c r="M8" s="371"/>
      <c r="N8" s="371"/>
      <c r="O8" s="371"/>
      <c r="Q8" s="483" t="s">
        <v>46</v>
      </c>
      <c r="R8" s="475" t="s">
        <v>47</v>
      </c>
      <c r="S8" s="475"/>
      <c r="T8" s="475"/>
      <c r="U8" s="475"/>
      <c r="V8" s="475"/>
      <c r="W8" s="504" t="s">
        <v>661</v>
      </c>
      <c r="X8" s="504"/>
      <c r="Y8" s="504"/>
      <c r="Z8" s="504"/>
      <c r="AA8" s="504"/>
      <c r="AB8" s="504"/>
      <c r="AC8" s="504"/>
      <c r="AD8" s="504"/>
      <c r="AE8" s="504"/>
      <c r="AF8" s="504"/>
      <c r="AG8" s="504"/>
      <c r="AH8" s="504"/>
      <c r="AI8" s="504"/>
      <c r="AJ8" s="504"/>
      <c r="AK8" s="504"/>
      <c r="AL8" s="7"/>
      <c r="AM8" s="55">
        <v>1</v>
      </c>
      <c r="AN8" s="17">
        <v>1</v>
      </c>
      <c r="AO8" s="48"/>
      <c r="AP8" s="48"/>
      <c r="AQ8" s="48"/>
      <c r="AR8" s="48"/>
      <c r="AS8" s="48"/>
      <c r="AT8" s="48"/>
      <c r="AU8" s="48"/>
      <c r="AV8" s="49"/>
      <c r="AW8" s="48"/>
      <c r="AX8" s="48"/>
      <c r="AY8" s="48"/>
      <c r="AZ8" s="48"/>
      <c r="BA8" s="48"/>
      <c r="BB8" s="48"/>
      <c r="BC8" s="48"/>
      <c r="BD8" s="48"/>
    </row>
    <row r="9" spans="1:57" ht="22.5" customHeight="1" x14ac:dyDescent="0.25">
      <c r="A9" s="344" t="s">
        <v>666</v>
      </c>
      <c r="B9" s="344"/>
      <c r="C9" s="344"/>
      <c r="D9" s="344"/>
      <c r="E9" s="344"/>
      <c r="F9" s="344"/>
      <c r="G9" s="344"/>
      <c r="H9" s="344"/>
      <c r="I9" s="275"/>
      <c r="J9" s="275"/>
      <c r="K9" s="275"/>
      <c r="L9" s="275"/>
      <c r="M9" s="275"/>
      <c r="N9" s="275"/>
      <c r="O9" s="275"/>
      <c r="P9" s="65"/>
      <c r="Q9" s="483"/>
      <c r="R9" s="300" t="s">
        <v>664</v>
      </c>
      <c r="S9" s="301"/>
      <c r="T9" s="301"/>
      <c r="U9" s="301"/>
      <c r="V9" s="301"/>
      <c r="W9" s="301"/>
      <c r="X9" s="302"/>
      <c r="Y9" s="300" t="s">
        <v>663</v>
      </c>
      <c r="Z9" s="301"/>
      <c r="AA9" s="301"/>
      <c r="AB9" s="302"/>
      <c r="AC9" s="300" t="s">
        <v>662</v>
      </c>
      <c r="AD9" s="301"/>
      <c r="AE9" s="301"/>
      <c r="AF9" s="301"/>
      <c r="AG9" s="301"/>
      <c r="AH9" s="301"/>
      <c r="AI9" s="301"/>
      <c r="AJ9" s="301"/>
      <c r="AK9" s="302"/>
      <c r="AM9" s="55">
        <v>1</v>
      </c>
      <c r="AN9" s="41">
        <v>2</v>
      </c>
      <c r="AO9" s="50" t="s">
        <v>31</v>
      </c>
      <c r="AP9" s="51" t="s">
        <v>278</v>
      </c>
      <c r="AQ9" s="50" t="s">
        <v>304</v>
      </c>
      <c r="AR9" s="50" t="s">
        <v>274</v>
      </c>
      <c r="AS9" s="50" t="s">
        <v>30</v>
      </c>
      <c r="AT9" s="50" t="s">
        <v>283</v>
      </c>
      <c r="AU9" s="50" t="s">
        <v>81</v>
      </c>
      <c r="AV9" s="50" t="s">
        <v>296</v>
      </c>
      <c r="AW9" s="52" t="s">
        <v>288</v>
      </c>
      <c r="AX9" s="50" t="s">
        <v>77</v>
      </c>
      <c r="AY9" s="50" t="s">
        <v>77</v>
      </c>
      <c r="AZ9" s="50" t="s">
        <v>79</v>
      </c>
      <c r="BA9" s="50" t="s">
        <v>301</v>
      </c>
      <c r="BB9" s="50" t="s">
        <v>105</v>
      </c>
      <c r="BC9" s="52" t="s">
        <v>33</v>
      </c>
      <c r="BD9" s="50" t="s">
        <v>101</v>
      </c>
      <c r="BE9" s="50" t="s">
        <v>32</v>
      </c>
    </row>
    <row r="10" spans="1:57" ht="22.5" customHeight="1" x14ac:dyDescent="0.25">
      <c r="A10" s="344" t="s">
        <v>58</v>
      </c>
      <c r="B10" s="344"/>
      <c r="C10" s="344"/>
      <c r="D10" s="344"/>
      <c r="E10" s="344"/>
      <c r="F10" s="344"/>
      <c r="G10" s="344"/>
      <c r="H10" s="344"/>
      <c r="P10" s="65"/>
      <c r="Q10" s="483"/>
      <c r="R10" s="475" t="s">
        <v>59</v>
      </c>
      <c r="S10" s="475"/>
      <c r="T10" s="475"/>
      <c r="U10" s="475"/>
      <c r="V10" s="475"/>
      <c r="W10" s="504" t="s">
        <v>661</v>
      </c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M10" s="55">
        <v>1</v>
      </c>
      <c r="AN10" s="41">
        <v>3</v>
      </c>
      <c r="AO10" s="50" t="s">
        <v>36</v>
      </c>
      <c r="AP10" s="51" t="s">
        <v>279</v>
      </c>
      <c r="AQ10" s="50" t="s">
        <v>37</v>
      </c>
      <c r="AR10" s="50" t="s">
        <v>275</v>
      </c>
      <c r="AS10" s="50" t="s">
        <v>267</v>
      </c>
      <c r="AT10" s="50" t="s">
        <v>52</v>
      </c>
      <c r="AU10" s="50" t="s">
        <v>78</v>
      </c>
      <c r="AV10" s="50" t="s">
        <v>295</v>
      </c>
      <c r="AW10" s="52" t="s">
        <v>289</v>
      </c>
      <c r="AX10" s="50" t="s">
        <v>80</v>
      </c>
      <c r="AY10" s="50" t="s">
        <v>80</v>
      </c>
      <c r="AZ10" s="50" t="s">
        <v>82</v>
      </c>
      <c r="BA10" s="50" t="s">
        <v>83</v>
      </c>
      <c r="BB10" s="50" t="s">
        <v>101</v>
      </c>
      <c r="BC10" s="52" t="s">
        <v>39</v>
      </c>
      <c r="BD10" s="50" t="s">
        <v>105</v>
      </c>
      <c r="BE10" s="50" t="s">
        <v>346</v>
      </c>
    </row>
    <row r="11" spans="1:57" ht="22.5" customHeight="1" x14ac:dyDescent="0.25">
      <c r="A11" s="344" t="s">
        <v>62</v>
      </c>
      <c r="B11" s="344"/>
      <c r="C11" s="344"/>
      <c r="D11" s="344"/>
      <c r="E11" s="344"/>
      <c r="F11" s="344"/>
      <c r="G11" s="344"/>
      <c r="H11" s="344"/>
      <c r="P11" s="65"/>
      <c r="Q11" s="483"/>
      <c r="R11" s="300" t="s">
        <v>664</v>
      </c>
      <c r="S11" s="301"/>
      <c r="T11" s="301"/>
      <c r="U11" s="301"/>
      <c r="V11" s="301"/>
      <c r="W11" s="301"/>
      <c r="X11" s="302"/>
      <c r="Y11" s="300" t="s">
        <v>663</v>
      </c>
      <c r="Z11" s="301"/>
      <c r="AA11" s="301"/>
      <c r="AB11" s="302"/>
      <c r="AC11" s="300" t="s">
        <v>662</v>
      </c>
      <c r="AD11" s="301"/>
      <c r="AE11" s="301"/>
      <c r="AF11" s="301"/>
      <c r="AG11" s="301"/>
      <c r="AH11" s="301"/>
      <c r="AI11" s="301"/>
      <c r="AJ11" s="301"/>
      <c r="AK11" s="302"/>
      <c r="AM11" s="55">
        <v>1</v>
      </c>
      <c r="AN11" s="41">
        <v>4</v>
      </c>
      <c r="AO11" s="50" t="s">
        <v>40</v>
      </c>
      <c r="AP11" s="51" t="s">
        <v>280</v>
      </c>
      <c r="AQ11" s="50" t="s">
        <v>41</v>
      </c>
      <c r="AR11" s="50" t="s">
        <v>276</v>
      </c>
      <c r="AS11" s="50" t="s">
        <v>268</v>
      </c>
      <c r="AT11" s="50" t="s">
        <v>284</v>
      </c>
      <c r="AU11" s="50" t="s">
        <v>85</v>
      </c>
      <c r="AV11" s="50" t="s">
        <v>294</v>
      </c>
      <c r="AW11" s="52" t="s">
        <v>290</v>
      </c>
      <c r="AX11" s="50" t="s">
        <v>84</v>
      </c>
      <c r="AY11" s="50" t="s">
        <v>84</v>
      </c>
      <c r="AZ11" s="50" t="s">
        <v>86</v>
      </c>
      <c r="BA11" s="50" t="s">
        <v>87</v>
      </c>
      <c r="BB11" s="52"/>
      <c r="BC11" s="52" t="s">
        <v>44</v>
      </c>
      <c r="BD11" s="50"/>
    </row>
    <row r="12" spans="1:57" ht="22.5" customHeight="1" x14ac:dyDescent="0.25">
      <c r="A12" s="344" t="s">
        <v>34</v>
      </c>
      <c r="B12" s="344"/>
      <c r="C12" s="344"/>
      <c r="D12" s="344"/>
      <c r="E12" s="344"/>
      <c r="F12" s="344"/>
      <c r="G12" s="344"/>
      <c r="H12" s="344"/>
      <c r="P12" s="65"/>
      <c r="Q12" s="483"/>
      <c r="R12" s="475" t="s">
        <v>66</v>
      </c>
      <c r="S12" s="475"/>
      <c r="T12" s="475"/>
      <c r="U12" s="475"/>
      <c r="V12" s="475"/>
      <c r="W12" s="504" t="s">
        <v>661</v>
      </c>
      <c r="X12" s="504"/>
      <c r="Y12" s="504"/>
      <c r="Z12" s="504"/>
      <c r="AA12" s="504"/>
      <c r="AB12" s="504"/>
      <c r="AC12" s="504"/>
      <c r="AD12" s="504"/>
      <c r="AE12" s="504"/>
      <c r="AF12" s="504"/>
      <c r="AG12" s="504"/>
      <c r="AH12" s="504"/>
      <c r="AI12" s="504"/>
      <c r="AJ12" s="504"/>
      <c r="AK12" s="504"/>
      <c r="AM12" s="55">
        <v>1</v>
      </c>
      <c r="AN12" s="41">
        <v>5</v>
      </c>
      <c r="AO12" s="50" t="s">
        <v>258</v>
      </c>
      <c r="AP12" s="51" t="s">
        <v>281</v>
      </c>
      <c r="AQ12" s="50" t="s">
        <v>54</v>
      </c>
      <c r="AR12" s="50" t="s">
        <v>93</v>
      </c>
      <c r="AS12" s="50" t="s">
        <v>269</v>
      </c>
      <c r="AT12" s="50" t="s">
        <v>285</v>
      </c>
      <c r="AU12" s="50" t="s">
        <v>92</v>
      </c>
      <c r="AV12" s="53" t="s">
        <v>293</v>
      </c>
      <c r="AW12" s="52" t="s">
        <v>291</v>
      </c>
      <c r="AX12" s="50" t="s">
        <v>91</v>
      </c>
      <c r="AY12" s="50" t="s">
        <v>91</v>
      </c>
      <c r="AZ12" s="50" t="s">
        <v>94</v>
      </c>
      <c r="BA12" s="50" t="s">
        <v>95</v>
      </c>
      <c r="BB12" s="52"/>
      <c r="BC12" s="52" t="s">
        <v>51</v>
      </c>
      <c r="BD12" s="50"/>
    </row>
    <row r="13" spans="1:57" ht="22.5" customHeight="1" x14ac:dyDescent="0.25">
      <c r="A13" s="344" t="s">
        <v>2</v>
      </c>
      <c r="B13" s="344"/>
      <c r="C13" s="344"/>
      <c r="D13" s="344"/>
      <c r="E13" s="344"/>
      <c r="F13" s="344"/>
      <c r="G13" s="344"/>
      <c r="H13" s="344"/>
      <c r="Q13" s="483"/>
      <c r="R13" s="300" t="s">
        <v>664</v>
      </c>
      <c r="S13" s="301"/>
      <c r="T13" s="301"/>
      <c r="U13" s="301"/>
      <c r="V13" s="301"/>
      <c r="W13" s="301"/>
      <c r="X13" s="302"/>
      <c r="Y13" s="300" t="s">
        <v>663</v>
      </c>
      <c r="Z13" s="301"/>
      <c r="AA13" s="301"/>
      <c r="AB13" s="302"/>
      <c r="AC13" s="300" t="s">
        <v>662</v>
      </c>
      <c r="AD13" s="301"/>
      <c r="AE13" s="301"/>
      <c r="AF13" s="301"/>
      <c r="AG13" s="301"/>
      <c r="AH13" s="301"/>
      <c r="AI13" s="301"/>
      <c r="AJ13" s="301"/>
      <c r="AK13" s="302"/>
      <c r="AM13" s="55">
        <v>1</v>
      </c>
      <c r="AN13" s="41">
        <v>6</v>
      </c>
      <c r="AO13" s="50" t="s">
        <v>48</v>
      </c>
      <c r="AP13" s="51" t="s">
        <v>264</v>
      </c>
      <c r="AQ13" s="50" t="s">
        <v>302</v>
      </c>
      <c r="AR13" s="50" t="s">
        <v>213</v>
      </c>
      <c r="AS13" s="50" t="s">
        <v>273</v>
      </c>
      <c r="AT13" s="50" t="s">
        <v>286</v>
      </c>
      <c r="AU13" s="50" t="s">
        <v>97</v>
      </c>
      <c r="AV13" s="53" t="s">
        <v>297</v>
      </c>
      <c r="AW13" s="52" t="s">
        <v>292</v>
      </c>
      <c r="AX13" s="50" t="s">
        <v>96</v>
      </c>
      <c r="AY13" s="50" t="s">
        <v>96</v>
      </c>
      <c r="AZ13" s="50" t="s">
        <v>98</v>
      </c>
      <c r="BA13" s="50" t="s">
        <v>99</v>
      </c>
      <c r="BB13" s="52"/>
      <c r="BC13" s="52" t="s">
        <v>57</v>
      </c>
      <c r="BD13" s="52"/>
    </row>
    <row r="14" spans="1:57" ht="22.5" customHeight="1" x14ac:dyDescent="0.25">
      <c r="A14" s="344" t="s">
        <v>67</v>
      </c>
      <c r="B14" s="344"/>
      <c r="C14" s="344"/>
      <c r="D14" s="344"/>
      <c r="E14" s="344"/>
      <c r="F14" s="344"/>
      <c r="G14" s="344"/>
      <c r="H14" s="344"/>
      <c r="Q14" s="483"/>
      <c r="R14" s="475" t="s">
        <v>68</v>
      </c>
      <c r="S14" s="475"/>
      <c r="T14" s="475"/>
      <c r="U14" s="475"/>
      <c r="V14" s="475"/>
      <c r="W14" s="504" t="s">
        <v>661</v>
      </c>
      <c r="X14" s="504"/>
      <c r="Y14" s="504"/>
      <c r="Z14" s="504"/>
      <c r="AA14" s="504"/>
      <c r="AB14" s="504"/>
      <c r="AC14" s="504"/>
      <c r="AD14" s="504"/>
      <c r="AE14" s="504"/>
      <c r="AF14" s="504"/>
      <c r="AG14" s="504"/>
      <c r="AH14" s="504"/>
      <c r="AI14" s="504"/>
      <c r="AJ14" s="504"/>
      <c r="AK14" s="504"/>
      <c r="AM14" s="55">
        <v>1</v>
      </c>
      <c r="AN14" s="41">
        <v>7</v>
      </c>
      <c r="AO14" s="50" t="s">
        <v>53</v>
      </c>
      <c r="AP14" s="51" t="s">
        <v>265</v>
      </c>
      <c r="AQ14" s="47" t="s">
        <v>303</v>
      </c>
      <c r="AR14" s="50" t="s">
        <v>277</v>
      </c>
      <c r="AS14" s="50" t="s">
        <v>272</v>
      </c>
      <c r="AT14" s="50" t="s">
        <v>61</v>
      </c>
      <c r="AU14" s="54" t="s">
        <v>299</v>
      </c>
      <c r="AV14" s="50" t="s">
        <v>298</v>
      </c>
      <c r="AW14" s="52"/>
      <c r="AX14" s="50" t="s">
        <v>102</v>
      </c>
      <c r="AY14" s="50" t="s">
        <v>102</v>
      </c>
      <c r="AZ14" s="50" t="s">
        <v>103</v>
      </c>
      <c r="BA14" s="50" t="s">
        <v>104</v>
      </c>
      <c r="BB14" s="52"/>
      <c r="BC14" s="52"/>
      <c r="BD14" s="52"/>
    </row>
    <row r="15" spans="1:57" ht="22.5" customHeight="1" x14ac:dyDescent="0.25">
      <c r="A15" s="344" t="s">
        <v>65</v>
      </c>
      <c r="B15" s="344"/>
      <c r="C15" s="344"/>
      <c r="D15" s="344"/>
      <c r="E15" s="344"/>
      <c r="F15" s="344"/>
      <c r="G15" s="344"/>
      <c r="H15" s="344"/>
      <c r="P15" s="65"/>
      <c r="Q15" s="483"/>
      <c r="R15" s="300" t="s">
        <v>664</v>
      </c>
      <c r="S15" s="301"/>
      <c r="T15" s="301"/>
      <c r="U15" s="301"/>
      <c r="V15" s="301"/>
      <c r="W15" s="301"/>
      <c r="X15" s="302"/>
      <c r="Y15" s="300" t="s">
        <v>663</v>
      </c>
      <c r="Z15" s="301"/>
      <c r="AA15" s="301"/>
      <c r="AB15" s="302"/>
      <c r="AC15" s="300" t="s">
        <v>662</v>
      </c>
      <c r="AD15" s="301"/>
      <c r="AE15" s="301"/>
      <c r="AF15" s="301"/>
      <c r="AG15" s="301"/>
      <c r="AH15" s="301"/>
      <c r="AI15" s="301"/>
      <c r="AJ15" s="301"/>
      <c r="AK15" s="302"/>
      <c r="AM15" s="55">
        <v>1</v>
      </c>
      <c r="AN15" s="41">
        <v>8</v>
      </c>
      <c r="AO15" s="50" t="s">
        <v>260</v>
      </c>
      <c r="AP15" s="51" t="s">
        <v>266</v>
      </c>
      <c r="AQ15" s="50"/>
      <c r="AR15" s="50"/>
      <c r="AS15" s="50" t="s">
        <v>271</v>
      </c>
      <c r="AT15" s="50" t="s">
        <v>63</v>
      </c>
      <c r="AU15" s="50"/>
      <c r="AV15" s="50"/>
      <c r="AW15" s="52"/>
      <c r="AX15" s="50" t="s">
        <v>106</v>
      </c>
      <c r="AY15" s="50" t="s">
        <v>106</v>
      </c>
      <c r="AZ15" s="50" t="s">
        <v>107</v>
      </c>
      <c r="BA15" s="50" t="s">
        <v>108</v>
      </c>
      <c r="BB15" s="52"/>
      <c r="BC15" s="52"/>
      <c r="BD15" s="52"/>
    </row>
    <row r="16" spans="1:57" ht="22.5" customHeight="1" x14ac:dyDescent="0.25">
      <c r="A16" s="344" t="s">
        <v>305</v>
      </c>
      <c r="B16" s="344"/>
      <c r="C16" s="344"/>
      <c r="D16" s="344"/>
      <c r="E16" s="344"/>
      <c r="F16" s="344"/>
      <c r="G16" s="344"/>
      <c r="H16" s="344"/>
      <c r="P16" s="65"/>
      <c r="Q16" s="483"/>
      <c r="R16" s="475" t="s">
        <v>75</v>
      </c>
      <c r="S16" s="475"/>
      <c r="T16" s="475"/>
      <c r="U16" s="475"/>
      <c r="V16" s="475"/>
      <c r="W16" s="504" t="s">
        <v>661</v>
      </c>
      <c r="X16" s="504"/>
      <c r="Y16" s="504"/>
      <c r="Z16" s="504"/>
      <c r="AA16" s="504"/>
      <c r="AB16" s="504"/>
      <c r="AC16" s="504"/>
      <c r="AD16" s="504"/>
      <c r="AE16" s="504"/>
      <c r="AF16" s="504"/>
      <c r="AG16" s="504"/>
      <c r="AH16" s="504"/>
      <c r="AI16" s="504"/>
      <c r="AJ16" s="504"/>
      <c r="AK16" s="504"/>
      <c r="AM16" s="55">
        <v>1</v>
      </c>
      <c r="AN16" s="41">
        <v>9</v>
      </c>
      <c r="AO16" s="50" t="s">
        <v>259</v>
      </c>
      <c r="AP16" s="51" t="s">
        <v>282</v>
      </c>
      <c r="AQ16" s="52"/>
      <c r="AR16" s="50"/>
      <c r="AS16" s="50" t="s">
        <v>270</v>
      </c>
      <c r="AT16" s="52"/>
      <c r="AU16" s="50"/>
      <c r="AV16" s="52"/>
      <c r="AW16" s="52"/>
      <c r="AX16" s="50" t="s">
        <v>110</v>
      </c>
      <c r="AY16" s="50" t="s">
        <v>110</v>
      </c>
      <c r="AZ16" s="50" t="s">
        <v>111</v>
      </c>
      <c r="BA16" s="50" t="s">
        <v>112</v>
      </c>
      <c r="BB16" s="52"/>
      <c r="BC16" s="52"/>
      <c r="BD16" s="52"/>
    </row>
    <row r="17" spans="1:56" ht="22.5" customHeight="1" x14ac:dyDescent="0.25">
      <c r="A17" s="344" t="s">
        <v>218</v>
      </c>
      <c r="B17" s="344"/>
      <c r="C17" s="344"/>
      <c r="D17" s="344"/>
      <c r="E17" s="344"/>
      <c r="F17" s="344"/>
      <c r="G17" s="344"/>
      <c r="H17" s="344"/>
      <c r="P17" s="65"/>
      <c r="Q17" s="483"/>
      <c r="R17" s="300" t="s">
        <v>664</v>
      </c>
      <c r="S17" s="301"/>
      <c r="T17" s="301"/>
      <c r="U17" s="301"/>
      <c r="V17" s="301"/>
      <c r="W17" s="301"/>
      <c r="X17" s="302"/>
      <c r="Y17" s="300" t="s">
        <v>663</v>
      </c>
      <c r="Z17" s="301"/>
      <c r="AA17" s="301"/>
      <c r="AB17" s="302"/>
      <c r="AC17" s="300" t="s">
        <v>662</v>
      </c>
      <c r="AD17" s="301"/>
      <c r="AE17" s="301"/>
      <c r="AF17" s="301"/>
      <c r="AG17" s="301"/>
      <c r="AH17" s="301"/>
      <c r="AI17" s="301"/>
      <c r="AJ17" s="301"/>
      <c r="AK17" s="302"/>
      <c r="AM17" s="55">
        <v>1</v>
      </c>
      <c r="AN17" s="41">
        <v>10</v>
      </c>
      <c r="AO17" s="50" t="s">
        <v>64</v>
      </c>
      <c r="AP17" s="52"/>
      <c r="AQ17" s="52"/>
      <c r="AR17" s="50"/>
      <c r="AS17" s="50" t="s">
        <v>60</v>
      </c>
      <c r="AT17" s="52"/>
      <c r="AU17" s="50"/>
      <c r="AV17" s="52"/>
      <c r="AW17" s="52"/>
      <c r="AX17" s="52" t="s">
        <v>300</v>
      </c>
      <c r="AY17" s="52" t="s">
        <v>300</v>
      </c>
      <c r="AZ17" s="52" t="s">
        <v>61</v>
      </c>
      <c r="BA17" s="52"/>
      <c r="BB17" s="52"/>
      <c r="BC17" s="52"/>
      <c r="BD17" s="52"/>
    </row>
    <row r="18" spans="1:56" ht="6.75" customHeight="1" x14ac:dyDescent="0.25">
      <c r="A18" s="344"/>
      <c r="B18" s="344"/>
      <c r="C18" s="344"/>
      <c r="D18" s="344"/>
      <c r="E18" s="344"/>
      <c r="F18" s="344"/>
      <c r="G18" s="344"/>
      <c r="H18" s="344"/>
      <c r="P18" s="66"/>
      <c r="Q18" s="66"/>
      <c r="R18" s="66"/>
      <c r="T18" s="67"/>
      <c r="U18" s="17"/>
      <c r="V18" s="17"/>
      <c r="W18" s="17"/>
      <c r="X18" s="17"/>
      <c r="Y18" s="17"/>
      <c r="Z18" s="17"/>
      <c r="AA18" s="17"/>
      <c r="AB18" s="17"/>
      <c r="AC18" s="17"/>
      <c r="AD18" s="40"/>
      <c r="AE18" s="17"/>
      <c r="AF18" s="17"/>
      <c r="AG18" s="17"/>
      <c r="AH18" s="17"/>
      <c r="AI18" s="17"/>
      <c r="AJ18" s="17"/>
      <c r="AK18" s="17"/>
      <c r="AM18" s="55"/>
      <c r="AU18" s="42"/>
    </row>
    <row r="19" spans="1:56" ht="22.5" customHeight="1" x14ac:dyDescent="0.25">
      <c r="A19" s="344" t="s">
        <v>306</v>
      </c>
      <c r="B19" s="344"/>
      <c r="C19" s="344"/>
      <c r="D19" s="344"/>
      <c r="E19" s="344"/>
      <c r="F19" s="344"/>
      <c r="G19" s="344"/>
      <c r="H19" s="344"/>
      <c r="P19" s="65"/>
      <c r="Q19" s="434" t="s">
        <v>216</v>
      </c>
      <c r="R19" s="434"/>
      <c r="S19" s="434"/>
      <c r="T19" s="434"/>
      <c r="U19" s="434"/>
      <c r="V19" s="434"/>
      <c r="W19" s="434"/>
      <c r="X19" s="434"/>
      <c r="Y19" s="434"/>
      <c r="Z19" s="434"/>
      <c r="AA19" s="434"/>
      <c r="AB19" s="434"/>
      <c r="AC19" s="434"/>
      <c r="AD19" s="434"/>
      <c r="AE19" s="434"/>
      <c r="AF19" s="434"/>
      <c r="AG19" s="434"/>
      <c r="AH19" s="434"/>
      <c r="AI19" s="434"/>
      <c r="AJ19" s="434"/>
      <c r="AK19" s="434"/>
      <c r="AM19" s="55">
        <v>1</v>
      </c>
    </row>
    <row r="20" spans="1:56" ht="22.5" customHeight="1" x14ac:dyDescent="0.25">
      <c r="A20" s="344" t="s">
        <v>69</v>
      </c>
      <c r="B20" s="344"/>
      <c r="C20" s="344"/>
      <c r="D20" s="344"/>
      <c r="E20" s="344"/>
      <c r="F20" s="344"/>
      <c r="G20" s="344"/>
      <c r="H20" s="344"/>
      <c r="P20" s="65"/>
      <c r="Q20" s="436" t="s">
        <v>89</v>
      </c>
      <c r="R20" s="436"/>
      <c r="S20" s="436"/>
      <c r="T20" s="436"/>
      <c r="U20" s="486"/>
      <c r="V20" s="486"/>
      <c r="W20" s="486"/>
      <c r="X20" s="486"/>
      <c r="Y20" s="486"/>
      <c r="Z20" s="486"/>
      <c r="AA20" s="486"/>
      <c r="AB20" s="486"/>
      <c r="AC20" s="436" t="s">
        <v>203</v>
      </c>
      <c r="AD20" s="436"/>
      <c r="AE20" s="469"/>
      <c r="AF20" s="469"/>
      <c r="AG20" s="469"/>
      <c r="AH20" s="469"/>
      <c r="AI20" s="469"/>
      <c r="AJ20" s="469"/>
      <c r="AK20" s="469"/>
      <c r="AM20" s="55">
        <v>1</v>
      </c>
    </row>
    <row r="21" spans="1:56" ht="22.5" customHeight="1" x14ac:dyDescent="0.25">
      <c r="A21" s="344" t="s">
        <v>76</v>
      </c>
      <c r="B21" s="344"/>
      <c r="C21" s="344"/>
      <c r="D21" s="344"/>
      <c r="E21" s="344"/>
      <c r="F21" s="344"/>
      <c r="G21" s="344"/>
      <c r="H21" s="344"/>
      <c r="P21" s="65"/>
      <c r="Q21" s="443" t="s">
        <v>206</v>
      </c>
      <c r="R21" s="443"/>
      <c r="S21" s="443"/>
      <c r="T21" s="443"/>
      <c r="U21" s="487"/>
      <c r="V21" s="487"/>
      <c r="W21" s="487"/>
      <c r="X21" s="487"/>
      <c r="Y21" s="487"/>
      <c r="Z21" s="487"/>
      <c r="AA21" s="487"/>
      <c r="AB21" s="487"/>
      <c r="AC21" s="443" t="s">
        <v>90</v>
      </c>
      <c r="AD21" s="443"/>
      <c r="AE21" s="569"/>
      <c r="AF21" s="570"/>
      <c r="AG21" s="570"/>
      <c r="AH21" s="570"/>
      <c r="AI21" s="570"/>
      <c r="AJ21" s="570"/>
      <c r="AK21" s="570"/>
      <c r="AM21" s="55">
        <v>1</v>
      </c>
      <c r="AO21" t="s">
        <v>667</v>
      </c>
    </row>
    <row r="22" spans="1:56" ht="22.5" customHeight="1" x14ac:dyDescent="0.25">
      <c r="A22" s="344" t="s">
        <v>309</v>
      </c>
      <c r="B22" s="344"/>
      <c r="C22" s="344"/>
      <c r="D22" s="344"/>
      <c r="E22" s="344"/>
      <c r="F22" s="344"/>
      <c r="G22" s="344"/>
      <c r="H22" s="344"/>
      <c r="P22" s="68"/>
      <c r="Q22" s="443" t="s">
        <v>231</v>
      </c>
      <c r="R22" s="443"/>
      <c r="S22" s="443"/>
      <c r="T22" s="443"/>
      <c r="U22" s="445"/>
      <c r="V22" s="446"/>
      <c r="W22" s="446"/>
      <c r="X22" s="446"/>
      <c r="Y22" s="446"/>
      <c r="Z22" s="446"/>
      <c r="AA22" s="446"/>
      <c r="AB22" s="446"/>
      <c r="AC22" s="446"/>
      <c r="AD22" s="446"/>
      <c r="AE22" s="446"/>
      <c r="AF22" s="446"/>
      <c r="AG22" s="446"/>
      <c r="AH22" s="446"/>
      <c r="AI22" s="446"/>
      <c r="AJ22" s="446"/>
      <c r="AK22" s="447"/>
      <c r="AM22" s="55">
        <v>1</v>
      </c>
    </row>
    <row r="23" spans="1:56" ht="22.5" customHeight="1" x14ac:dyDescent="0.25">
      <c r="A23" s="344" t="s">
        <v>307</v>
      </c>
      <c r="B23" s="344"/>
      <c r="C23" s="344"/>
      <c r="D23" s="344"/>
      <c r="E23" s="344"/>
      <c r="F23" s="344"/>
      <c r="G23" s="344"/>
      <c r="H23" s="344"/>
      <c r="Q23" s="444" t="s">
        <v>205</v>
      </c>
      <c r="R23" s="444"/>
      <c r="S23" s="444"/>
      <c r="T23" s="444"/>
      <c r="U23" s="373"/>
      <c r="V23" s="373"/>
      <c r="W23" s="373"/>
      <c r="X23" s="373"/>
      <c r="Y23" s="373"/>
      <c r="Z23" s="373"/>
      <c r="AA23" s="373"/>
      <c r="AB23" s="373"/>
      <c r="AC23" s="470" t="s">
        <v>204</v>
      </c>
      <c r="AD23" s="471"/>
      <c r="AE23" s="488"/>
      <c r="AF23" s="489"/>
      <c r="AG23" s="489"/>
      <c r="AH23" s="489"/>
      <c r="AI23" s="489"/>
      <c r="AJ23" s="489"/>
      <c r="AK23" s="490"/>
      <c r="AM23" s="55">
        <v>1</v>
      </c>
    </row>
    <row r="24" spans="1:56" ht="22.5" customHeight="1" x14ac:dyDescent="0.25">
      <c r="A24" s="344" t="s">
        <v>308</v>
      </c>
      <c r="B24" s="344"/>
      <c r="C24" s="344"/>
      <c r="D24" s="344"/>
      <c r="E24" s="344"/>
      <c r="F24" s="344"/>
      <c r="G24" s="344"/>
      <c r="H24" s="344"/>
      <c r="P24" s="11"/>
      <c r="Q24" s="443" t="s">
        <v>221</v>
      </c>
      <c r="R24" s="443"/>
      <c r="S24" s="443"/>
      <c r="T24" s="443"/>
      <c r="U24" s="443"/>
      <c r="V24" s="443"/>
      <c r="W24" s="443"/>
      <c r="X24" s="485"/>
      <c r="Y24" s="485"/>
      <c r="Z24" s="485"/>
      <c r="AA24" s="485"/>
      <c r="AB24" s="485"/>
      <c r="AC24" s="485"/>
      <c r="AD24" s="485"/>
      <c r="AE24" s="485"/>
      <c r="AF24" s="485"/>
      <c r="AG24" s="485"/>
      <c r="AH24" s="485"/>
      <c r="AI24" s="485"/>
      <c r="AJ24" s="485"/>
      <c r="AK24" s="485"/>
      <c r="AM24" s="55">
        <v>1</v>
      </c>
    </row>
    <row r="25" spans="1:56" ht="9" customHeight="1" thickBot="1" x14ac:dyDescent="0.3">
      <c r="A25" s="64"/>
      <c r="B25" s="64"/>
      <c r="C25" s="64"/>
      <c r="D25" s="64"/>
      <c r="E25" s="64"/>
      <c r="F25" s="64"/>
      <c r="G25" s="64"/>
      <c r="H25" s="64"/>
      <c r="P25" s="11"/>
      <c r="Q25" s="17"/>
      <c r="R25" s="17"/>
      <c r="S25" s="17"/>
      <c r="T25" s="17"/>
      <c r="U25" s="17"/>
      <c r="V25" s="17"/>
      <c r="W25" s="17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M25" s="55"/>
    </row>
    <row r="26" spans="1:56" ht="22.5" customHeight="1" thickTop="1" thickBot="1" x14ac:dyDescent="0.3">
      <c r="A26" s="344" t="s">
        <v>217</v>
      </c>
      <c r="B26" s="344" t="s">
        <v>100</v>
      </c>
      <c r="C26" s="344"/>
      <c r="D26" s="344"/>
      <c r="E26" s="344"/>
      <c r="F26" s="344"/>
      <c r="G26" s="344"/>
      <c r="H26" s="344"/>
      <c r="I26" s="437">
        <v>0</v>
      </c>
      <c r="J26" s="438"/>
      <c r="K26" s="438"/>
      <c r="L26" s="438"/>
      <c r="M26" s="438"/>
      <c r="N26" s="438"/>
      <c r="O26" s="439"/>
      <c r="P26" s="68"/>
      <c r="Q26" s="435" t="s">
        <v>312</v>
      </c>
      <c r="R26" s="435"/>
      <c r="S26" s="435"/>
      <c r="T26" s="435"/>
      <c r="U26" s="435"/>
      <c r="V26" s="435"/>
      <c r="W26" s="435"/>
      <c r="X26" s="484" t="s">
        <v>311</v>
      </c>
      <c r="Y26" s="484"/>
      <c r="Z26" s="484"/>
      <c r="AA26" s="484"/>
      <c r="AB26" s="484"/>
      <c r="AC26" s="484"/>
      <c r="AD26" s="484"/>
      <c r="AE26" s="484"/>
      <c r="AF26" s="484"/>
      <c r="AG26" s="484"/>
      <c r="AH26" s="484"/>
      <c r="AI26" s="484"/>
      <c r="AJ26" s="484"/>
      <c r="AK26" s="484"/>
    </row>
    <row r="27" spans="1:56" ht="9" customHeight="1" thickTop="1" x14ac:dyDescent="0.25">
      <c r="N27" s="2"/>
      <c r="O27" s="68"/>
      <c r="P27" s="68"/>
      <c r="Q27" s="68"/>
      <c r="R27" s="68"/>
    </row>
    <row r="28" spans="1:56" x14ac:dyDescent="0.25">
      <c r="A28" s="440" t="s">
        <v>215</v>
      </c>
      <c r="B28" s="441"/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1"/>
      <c r="AC28" s="441"/>
      <c r="AD28" s="441"/>
      <c r="AE28" s="441"/>
      <c r="AF28" s="441"/>
      <c r="AG28" s="441"/>
      <c r="AH28" s="441"/>
      <c r="AI28" s="441"/>
      <c r="AJ28" s="441"/>
      <c r="AK28" s="442"/>
      <c r="AO28" s="2">
        <v>1</v>
      </c>
      <c r="AP28" s="2">
        <v>2</v>
      </c>
      <c r="AQ28" s="2">
        <v>3</v>
      </c>
      <c r="AR28" s="2">
        <v>4</v>
      </c>
      <c r="AS28" s="2">
        <v>5</v>
      </c>
      <c r="AT28" s="2">
        <v>6</v>
      </c>
      <c r="AU28" s="2">
        <v>7</v>
      </c>
      <c r="AV28" s="2">
        <v>8</v>
      </c>
      <c r="AW28" s="2">
        <v>9</v>
      </c>
      <c r="AX28" s="2">
        <v>10</v>
      </c>
      <c r="AY28" s="2">
        <v>11</v>
      </c>
      <c r="AZ28" s="2">
        <v>12</v>
      </c>
      <c r="BA28" s="2">
        <v>13</v>
      </c>
      <c r="BB28" s="2">
        <v>14</v>
      </c>
      <c r="BC28" s="2">
        <v>15</v>
      </c>
      <c r="BD28" s="2">
        <v>16</v>
      </c>
    </row>
    <row r="29" spans="1:56" ht="6.75" customHeight="1" thickBot="1" x14ac:dyDescent="0.3">
      <c r="N29" s="2"/>
      <c r="O29" s="68"/>
      <c r="P29" s="68"/>
      <c r="Q29" s="68"/>
      <c r="R29" s="68"/>
    </row>
    <row r="30" spans="1:56" ht="23.25" customHeight="1" x14ac:dyDescent="0.25">
      <c r="A30" s="367" t="s">
        <v>219</v>
      </c>
      <c r="B30" s="367"/>
      <c r="C30" s="367"/>
      <c r="D30" s="367"/>
      <c r="E30" s="367"/>
      <c r="F30" s="367"/>
      <c r="G30" s="367"/>
      <c r="H30" s="367"/>
      <c r="I30" s="367"/>
      <c r="J30" s="367"/>
      <c r="K30" s="367"/>
      <c r="L30" s="367"/>
      <c r="M30" s="367"/>
      <c r="N30" s="367"/>
      <c r="O30" s="367"/>
      <c r="P30" s="68"/>
      <c r="Q30" s="374" t="s">
        <v>343</v>
      </c>
      <c r="R30" s="375"/>
      <c r="S30" s="375"/>
      <c r="T30" s="375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375"/>
      <c r="AJ30" s="375"/>
      <c r="AK30" s="376"/>
      <c r="AO30" s="9" t="s">
        <v>24</v>
      </c>
      <c r="AP30" s="9" t="s">
        <v>74</v>
      </c>
      <c r="AQ30" s="9" t="s">
        <v>359</v>
      </c>
      <c r="AR30" s="9" t="s">
        <v>313</v>
      </c>
      <c r="AS30" s="9" t="s">
        <v>314</v>
      </c>
      <c r="AT30" s="9" t="s">
        <v>336</v>
      </c>
      <c r="AU30" s="9" t="s">
        <v>335</v>
      </c>
      <c r="AV30" s="9" t="s">
        <v>315</v>
      </c>
      <c r="AW30" s="9" t="s">
        <v>316</v>
      </c>
      <c r="AX30" s="9" t="s">
        <v>317</v>
      </c>
      <c r="AY30" s="9" t="s">
        <v>318</v>
      </c>
      <c r="AZ30" s="9" t="s">
        <v>238</v>
      </c>
      <c r="BA30" s="9" t="s">
        <v>319</v>
      </c>
      <c r="BB30" s="9" t="s">
        <v>360</v>
      </c>
      <c r="BC30" s="9" t="s">
        <v>373</v>
      </c>
      <c r="BD30" s="9" t="s">
        <v>361</v>
      </c>
    </row>
    <row r="31" spans="1:56" ht="23.25" customHeight="1" x14ac:dyDescent="0.25">
      <c r="A31" s="344" t="s">
        <v>24</v>
      </c>
      <c r="B31" s="344"/>
      <c r="C31" s="344"/>
      <c r="D31" s="344"/>
      <c r="E31" s="344"/>
      <c r="F31" s="344"/>
      <c r="G31" s="344"/>
      <c r="H31" s="344"/>
      <c r="I31" s="275"/>
      <c r="J31" s="275"/>
      <c r="K31" s="275"/>
      <c r="L31" s="275"/>
      <c r="M31" s="275"/>
      <c r="N31" s="275"/>
      <c r="O31" s="275"/>
      <c r="P31" s="68"/>
      <c r="Q31" s="69"/>
      <c r="R31" s="68"/>
      <c r="V31" s="377" t="s">
        <v>224</v>
      </c>
      <c r="W31" s="377"/>
      <c r="X31" s="377"/>
      <c r="Y31" s="377" t="s">
        <v>225</v>
      </c>
      <c r="Z31" s="377"/>
      <c r="AA31" s="377"/>
      <c r="AB31" s="377" t="s">
        <v>226</v>
      </c>
      <c r="AC31" s="377"/>
      <c r="AD31" s="377"/>
      <c r="AE31" s="377" t="s">
        <v>227</v>
      </c>
      <c r="AF31" s="377"/>
      <c r="AG31" s="377"/>
      <c r="AH31" s="377" t="s">
        <v>228</v>
      </c>
      <c r="AI31" s="377"/>
      <c r="AJ31" s="377"/>
      <c r="AK31" s="70" t="s">
        <v>229</v>
      </c>
      <c r="AM31" s="55">
        <v>1</v>
      </c>
      <c r="AN31" s="17"/>
      <c r="AO31" s="17"/>
      <c r="AR31" s="39"/>
      <c r="AT31" s="39"/>
      <c r="AV31" s="39"/>
      <c r="AX31" s="39"/>
      <c r="AY31" s="39"/>
      <c r="BA31" s="39"/>
      <c r="BB31" s="39"/>
      <c r="BD31" s="37"/>
    </row>
    <row r="32" spans="1:56" ht="23.25" customHeight="1" x14ac:dyDescent="0.25">
      <c r="A32" s="344" t="s">
        <v>74</v>
      </c>
      <c r="B32" s="344"/>
      <c r="C32" s="344"/>
      <c r="D32" s="344"/>
      <c r="E32" s="344"/>
      <c r="F32" s="344"/>
      <c r="G32" s="344"/>
      <c r="H32" s="344"/>
      <c r="I32" s="378"/>
      <c r="J32" s="378"/>
      <c r="K32" s="378"/>
      <c r="L32" s="378"/>
      <c r="M32" s="378"/>
      <c r="N32" s="378"/>
      <c r="O32" s="378"/>
      <c r="P32" s="68"/>
      <c r="Q32" s="382" t="s">
        <v>222</v>
      </c>
      <c r="R32" s="383"/>
      <c r="S32" s="383"/>
      <c r="T32" s="383"/>
      <c r="U32" s="383"/>
      <c r="V32" s="320"/>
      <c r="W32" s="320"/>
      <c r="X32" s="320"/>
      <c r="Y32" s="320"/>
      <c r="Z32" s="320"/>
      <c r="AA32" s="320"/>
      <c r="AB32" s="320"/>
      <c r="AC32" s="320"/>
      <c r="AD32" s="320"/>
      <c r="AE32" s="320"/>
      <c r="AF32" s="320"/>
      <c r="AG32" s="320"/>
      <c r="AH32" s="320"/>
      <c r="AI32" s="320"/>
      <c r="AJ32" s="320"/>
      <c r="AK32" s="105"/>
      <c r="AM32" s="55">
        <v>1</v>
      </c>
      <c r="AN32" s="17"/>
      <c r="AR32" s="17"/>
      <c r="AS32" s="38"/>
      <c r="AT32" s="17"/>
      <c r="AU32" s="38"/>
      <c r="AV32" s="17"/>
      <c r="AW32" s="38"/>
      <c r="AX32" s="17"/>
      <c r="AY32" s="17"/>
      <c r="AZ32" s="38"/>
      <c r="BA32" s="17"/>
      <c r="BB32" s="17"/>
      <c r="BD32" s="38"/>
    </row>
    <row r="33" spans="1:60" ht="23.25" customHeight="1" x14ac:dyDescent="0.25">
      <c r="A33" s="344" t="s">
        <v>359</v>
      </c>
      <c r="B33" s="344"/>
      <c r="C33" s="344"/>
      <c r="D33" s="344"/>
      <c r="E33" s="344"/>
      <c r="F33" s="344"/>
      <c r="G33" s="344"/>
      <c r="H33" s="344"/>
      <c r="I33" s="275"/>
      <c r="J33" s="275"/>
      <c r="K33" s="275"/>
      <c r="L33" s="275"/>
      <c r="M33" s="275"/>
      <c r="N33" s="275"/>
      <c r="O33" s="275"/>
      <c r="P33" s="68"/>
      <c r="Q33" s="382" t="s">
        <v>0</v>
      </c>
      <c r="R33" s="383"/>
      <c r="S33" s="383"/>
      <c r="T33" s="383"/>
      <c r="U33" s="383"/>
      <c r="V33" s="320"/>
      <c r="W33" s="320"/>
      <c r="X33" s="320"/>
      <c r="Y33" s="320"/>
      <c r="Z33" s="320"/>
      <c r="AA33" s="320"/>
      <c r="AB33" s="320"/>
      <c r="AC33" s="320"/>
      <c r="AD33" s="320"/>
      <c r="AE33" s="320"/>
      <c r="AF33" s="320"/>
      <c r="AG33" s="320"/>
      <c r="AH33" s="320"/>
      <c r="AI33" s="320"/>
      <c r="AJ33" s="320"/>
      <c r="AK33" s="105"/>
      <c r="AM33" s="55">
        <v>1</v>
      </c>
      <c r="AN33" s="41">
        <v>1</v>
      </c>
      <c r="AO33" s="12"/>
      <c r="AP33" s="12"/>
      <c r="AQ33" s="12"/>
      <c r="AR33" s="12"/>
      <c r="AS33" s="12"/>
      <c r="AT33" s="12"/>
      <c r="AU33" s="12"/>
      <c r="AV33" s="26"/>
      <c r="AW33" s="12"/>
      <c r="AX33" s="26"/>
      <c r="AY33" s="12"/>
      <c r="AZ33" s="12"/>
      <c r="BA33" s="26"/>
      <c r="BB33" s="12"/>
      <c r="BC33" s="12"/>
      <c r="BD33" s="12"/>
    </row>
    <row r="34" spans="1:60" ht="23.25" customHeight="1" x14ac:dyDescent="0.25">
      <c r="A34" s="344" t="s">
        <v>324</v>
      </c>
      <c r="B34" s="344"/>
      <c r="C34" s="344"/>
      <c r="D34" s="344"/>
      <c r="E34" s="344"/>
      <c r="F34" s="344"/>
      <c r="G34" s="344"/>
      <c r="H34" s="344"/>
      <c r="I34" s="275"/>
      <c r="J34" s="275"/>
      <c r="K34" s="275"/>
      <c r="L34" s="275"/>
      <c r="M34" s="275"/>
      <c r="N34" s="275"/>
      <c r="O34" s="275"/>
      <c r="P34" s="68"/>
      <c r="Q34" s="382" t="s">
        <v>223</v>
      </c>
      <c r="R34" s="383"/>
      <c r="S34" s="383"/>
      <c r="T34" s="383"/>
      <c r="U34" s="383"/>
      <c r="V34" s="320"/>
      <c r="W34" s="320"/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0"/>
      <c r="AI34" s="320"/>
      <c r="AJ34" s="320"/>
      <c r="AK34" s="105"/>
      <c r="AM34" s="55">
        <v>1</v>
      </c>
      <c r="AN34" s="41">
        <v>2</v>
      </c>
      <c r="AO34" s="3" t="s">
        <v>32</v>
      </c>
      <c r="AP34" s="3" t="s">
        <v>32</v>
      </c>
      <c r="AQ34" s="12" t="s">
        <v>32</v>
      </c>
      <c r="AR34" s="3" t="s">
        <v>334</v>
      </c>
      <c r="AS34" s="12" t="s">
        <v>32</v>
      </c>
      <c r="AT34" s="3" t="s">
        <v>572</v>
      </c>
      <c r="AU34" s="12" t="s">
        <v>353</v>
      </c>
      <c r="AV34" s="205" t="s">
        <v>32</v>
      </c>
      <c r="AW34" s="12" t="s">
        <v>346</v>
      </c>
      <c r="AX34" s="26" t="s">
        <v>32</v>
      </c>
      <c r="AY34" s="12" t="s">
        <v>32</v>
      </c>
      <c r="AZ34" s="12" t="s">
        <v>364</v>
      </c>
      <c r="BA34" s="35" t="s">
        <v>374</v>
      </c>
      <c r="BB34" s="35">
        <v>145</v>
      </c>
      <c r="BC34" s="35"/>
      <c r="BD34" s="35">
        <v>206</v>
      </c>
      <c r="BE34">
        <v>600</v>
      </c>
      <c r="BF34">
        <v>206</v>
      </c>
      <c r="BG34">
        <v>504</v>
      </c>
      <c r="BH34">
        <v>1180</v>
      </c>
    </row>
    <row r="35" spans="1:60" ht="23.25" customHeight="1" thickBot="1" x14ac:dyDescent="0.3">
      <c r="A35" s="344" t="s">
        <v>325</v>
      </c>
      <c r="B35" s="344"/>
      <c r="C35" s="344"/>
      <c r="D35" s="344"/>
      <c r="E35" s="344"/>
      <c r="F35" s="344"/>
      <c r="G35" s="344"/>
      <c r="H35" s="344"/>
      <c r="I35" s="275"/>
      <c r="J35" s="275"/>
      <c r="K35" s="275"/>
      <c r="L35" s="275"/>
      <c r="M35" s="275"/>
      <c r="N35" s="275"/>
      <c r="O35" s="275"/>
      <c r="P35" s="68"/>
      <c r="Q35" s="380" t="s">
        <v>230</v>
      </c>
      <c r="R35" s="381"/>
      <c r="S35" s="381"/>
      <c r="T35" s="381"/>
      <c r="U35" s="381"/>
      <c r="V35" s="322"/>
      <c r="W35" s="322"/>
      <c r="X35" s="322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71"/>
      <c r="AM35" s="55">
        <v>1</v>
      </c>
      <c r="AN35" s="41">
        <v>3</v>
      </c>
      <c r="AO35" s="3" t="s">
        <v>38</v>
      </c>
      <c r="AP35" s="3" t="s">
        <v>540</v>
      </c>
      <c r="AQ35" s="12" t="s">
        <v>332</v>
      </c>
      <c r="AR35" s="3" t="s">
        <v>32</v>
      </c>
      <c r="AS35" s="12" t="s">
        <v>334</v>
      </c>
      <c r="AT35" s="3" t="s">
        <v>534</v>
      </c>
      <c r="AU35" s="12" t="s">
        <v>354</v>
      </c>
      <c r="AV35" s="205" t="s">
        <v>537</v>
      </c>
      <c r="AW35" s="12" t="s">
        <v>32</v>
      </c>
      <c r="AX35" s="26" t="s">
        <v>346</v>
      </c>
      <c r="AY35" s="12" t="s">
        <v>357</v>
      </c>
      <c r="AZ35" s="12" t="s">
        <v>365</v>
      </c>
      <c r="BA35" s="35" t="s">
        <v>375</v>
      </c>
      <c r="BB35" s="35">
        <v>170</v>
      </c>
      <c r="BC35" s="35"/>
      <c r="BD35" s="35">
        <v>415</v>
      </c>
      <c r="BE35">
        <v>600</v>
      </c>
      <c r="BF35">
        <v>1860</v>
      </c>
      <c r="BG35">
        <v>4606</v>
      </c>
      <c r="BH35">
        <v>10967</v>
      </c>
    </row>
    <row r="36" spans="1:60" ht="23.25" customHeight="1" thickBot="1" x14ac:dyDescent="0.3">
      <c r="A36" s="344" t="s">
        <v>571</v>
      </c>
      <c r="B36" s="344"/>
      <c r="C36" s="344"/>
      <c r="D36" s="344"/>
      <c r="E36" s="344"/>
      <c r="F36" s="344"/>
      <c r="G36" s="344"/>
      <c r="H36" s="344"/>
      <c r="I36" s="275"/>
      <c r="J36" s="275"/>
      <c r="K36" s="275"/>
      <c r="L36" s="275"/>
      <c r="M36" s="275"/>
      <c r="N36" s="275"/>
      <c r="O36" s="275"/>
      <c r="P36" s="68"/>
      <c r="Q36" s="68"/>
      <c r="R36" s="68"/>
      <c r="AM36" s="55">
        <v>1</v>
      </c>
      <c r="AN36" s="41">
        <v>4</v>
      </c>
      <c r="AO36" s="3" t="s">
        <v>42</v>
      </c>
      <c r="AP36" s="3" t="s">
        <v>43</v>
      </c>
      <c r="AQ36" s="12" t="s">
        <v>333</v>
      </c>
      <c r="AR36" s="3"/>
      <c r="AS36" s="12"/>
      <c r="AT36" s="3" t="s">
        <v>533</v>
      </c>
      <c r="AU36" s="12" t="s">
        <v>355</v>
      </c>
      <c r="AV36" s="25"/>
      <c r="AW36" s="12"/>
      <c r="AX36" s="26" t="s">
        <v>356</v>
      </c>
      <c r="AY36" s="12" t="s">
        <v>358</v>
      </c>
      <c r="AZ36" s="12" t="s">
        <v>366</v>
      </c>
      <c r="BA36" s="35" t="s">
        <v>378</v>
      </c>
      <c r="BB36" s="35">
        <v>255</v>
      </c>
      <c r="BC36" s="35"/>
      <c r="BD36" s="35">
        <v>424</v>
      </c>
      <c r="BE36">
        <v>600</v>
      </c>
      <c r="BF36" s="57">
        <v>662</v>
      </c>
      <c r="BG36" s="57">
        <v>1794</v>
      </c>
      <c r="BH36" s="57">
        <v>4487</v>
      </c>
    </row>
    <row r="37" spans="1:60" ht="23.25" customHeight="1" thickBot="1" x14ac:dyDescent="0.3">
      <c r="A37" s="344" t="s">
        <v>326</v>
      </c>
      <c r="B37" s="344"/>
      <c r="C37" s="344"/>
      <c r="D37" s="344"/>
      <c r="E37" s="344"/>
      <c r="F37" s="344"/>
      <c r="G37" s="344"/>
      <c r="H37" s="344"/>
      <c r="I37" s="275"/>
      <c r="J37" s="275"/>
      <c r="K37" s="275"/>
      <c r="L37" s="275"/>
      <c r="M37" s="275"/>
      <c r="N37" s="275"/>
      <c r="O37" s="275"/>
      <c r="P37" s="68"/>
      <c r="Q37" s="384" t="s">
        <v>194</v>
      </c>
      <c r="R37" s="385"/>
      <c r="S37" s="385"/>
      <c r="T37" s="385"/>
      <c r="U37" s="385"/>
      <c r="V37" s="385"/>
      <c r="W37" s="385"/>
      <c r="X37" s="385"/>
      <c r="Y37" s="385"/>
      <c r="Z37" s="385"/>
      <c r="AA37" s="385"/>
      <c r="AB37" s="385"/>
      <c r="AC37" s="385"/>
      <c r="AD37" s="385"/>
      <c r="AE37" s="385"/>
      <c r="AF37" s="385"/>
      <c r="AG37" s="385"/>
      <c r="AH37" s="385"/>
      <c r="AI37" s="385"/>
      <c r="AJ37" s="385"/>
      <c r="AK37" s="386"/>
      <c r="AM37" s="55">
        <v>1</v>
      </c>
      <c r="AN37" s="41">
        <v>5</v>
      </c>
      <c r="AO37" s="3" t="s">
        <v>49</v>
      </c>
      <c r="AP37" s="3" t="s">
        <v>50</v>
      </c>
      <c r="AQ37" s="12"/>
      <c r="AR37" s="3"/>
      <c r="AS37" s="12"/>
      <c r="AT37" s="3" t="s">
        <v>535</v>
      </c>
      <c r="AU37" s="12"/>
      <c r="AV37" s="25"/>
      <c r="AW37" s="12"/>
      <c r="AX37" s="26"/>
      <c r="AY37" s="12"/>
      <c r="AZ37" s="12" t="s">
        <v>367</v>
      </c>
      <c r="BA37" s="35" t="s">
        <v>379</v>
      </c>
      <c r="BB37" s="35">
        <v>255</v>
      </c>
      <c r="BC37" s="35"/>
      <c r="BD37" s="35">
        <v>364</v>
      </c>
      <c r="BE37">
        <v>600</v>
      </c>
      <c r="BF37">
        <v>963</v>
      </c>
      <c r="BG37">
        <v>2642</v>
      </c>
      <c r="BH37">
        <v>6693</v>
      </c>
    </row>
    <row r="38" spans="1:60" ht="23.25" customHeight="1" x14ac:dyDescent="0.25">
      <c r="A38" s="344" t="s">
        <v>327</v>
      </c>
      <c r="B38" s="344"/>
      <c r="C38" s="344"/>
      <c r="D38" s="344"/>
      <c r="E38" s="344"/>
      <c r="F38" s="344"/>
      <c r="G38" s="344"/>
      <c r="H38" s="344"/>
      <c r="I38" s="275"/>
      <c r="J38" s="275"/>
      <c r="K38" s="275"/>
      <c r="L38" s="275"/>
      <c r="M38" s="275"/>
      <c r="N38" s="275"/>
      <c r="O38" s="275"/>
      <c r="P38" s="68"/>
      <c r="Q38" s="462" t="s">
        <v>254</v>
      </c>
      <c r="R38" s="372"/>
      <c r="S38" s="372"/>
      <c r="T38" s="372"/>
      <c r="U38" s="452">
        <f ca="1">Z85</f>
        <v>1.3333333333333333</v>
      </c>
      <c r="V38" s="452"/>
      <c r="W38" s="452"/>
      <c r="X38" s="452"/>
      <c r="Y38" s="452"/>
      <c r="Z38" s="452"/>
      <c r="AA38" s="453" t="s">
        <v>256</v>
      </c>
      <c r="AB38" s="453"/>
      <c r="AC38" s="453"/>
      <c r="AD38" s="453"/>
      <c r="AE38" s="452">
        <f>AF85</f>
        <v>0</v>
      </c>
      <c r="AF38" s="452"/>
      <c r="AG38" s="452"/>
      <c r="AH38" s="452"/>
      <c r="AI38" s="452"/>
      <c r="AJ38" s="452"/>
      <c r="AK38" s="506"/>
      <c r="AM38" s="55">
        <v>1</v>
      </c>
      <c r="AN38" s="41">
        <v>6</v>
      </c>
      <c r="AO38" s="3" t="s">
        <v>55</v>
      </c>
      <c r="AP38" s="3" t="s">
        <v>56</v>
      </c>
      <c r="AQ38" s="12"/>
      <c r="AR38" s="3"/>
      <c r="AS38" s="12"/>
      <c r="AT38" s="3" t="s">
        <v>536</v>
      </c>
      <c r="AU38" s="12"/>
      <c r="AV38" s="3"/>
      <c r="AW38" s="12"/>
      <c r="AX38" s="26"/>
      <c r="AY38" s="12"/>
      <c r="AZ38" s="12" t="s">
        <v>368</v>
      </c>
      <c r="BA38" s="35" t="s">
        <v>380</v>
      </c>
      <c r="BB38" s="35">
        <v>255</v>
      </c>
      <c r="BC38" s="35"/>
      <c r="BD38" s="35">
        <v>662</v>
      </c>
      <c r="BE38">
        <v>600</v>
      </c>
      <c r="BF38">
        <f>BG34/BF34</f>
        <v>2.4466019417475726</v>
      </c>
      <c r="BG38">
        <f>BH34/BG34</f>
        <v>2.3412698412698414</v>
      </c>
      <c r="BH38">
        <f>BG38*BF38</f>
        <v>5.7281553398058254</v>
      </c>
    </row>
    <row r="39" spans="1:60" ht="23.25" customHeight="1" x14ac:dyDescent="0.25">
      <c r="A39" s="344" t="s">
        <v>316</v>
      </c>
      <c r="B39" s="344"/>
      <c r="C39" s="344"/>
      <c r="D39" s="344"/>
      <c r="E39" s="344"/>
      <c r="F39" s="344"/>
      <c r="G39" s="344"/>
      <c r="H39" s="344"/>
      <c r="I39" s="275"/>
      <c r="J39" s="275"/>
      <c r="K39" s="275"/>
      <c r="L39" s="275"/>
      <c r="M39" s="275"/>
      <c r="N39" s="275"/>
      <c r="O39" s="275"/>
      <c r="P39" s="68"/>
      <c r="Q39" s="454" t="s">
        <v>255</v>
      </c>
      <c r="R39" s="315"/>
      <c r="S39" s="315"/>
      <c r="T39" s="315"/>
      <c r="U39" s="455">
        <f>N85</f>
        <v>0</v>
      </c>
      <c r="V39" s="455"/>
      <c r="W39" s="455"/>
      <c r="X39" s="455"/>
      <c r="Y39" s="455"/>
      <c r="Z39" s="455"/>
      <c r="AA39" s="458" t="s">
        <v>344</v>
      </c>
      <c r="AB39" s="458"/>
      <c r="AC39" s="458"/>
      <c r="AD39" s="458"/>
      <c r="AE39" s="455">
        <f>P138</f>
        <v>0</v>
      </c>
      <c r="AF39" s="455"/>
      <c r="AG39" s="455"/>
      <c r="AH39" s="455"/>
      <c r="AI39" s="455"/>
      <c r="AJ39" s="455"/>
      <c r="AK39" s="459"/>
      <c r="AM39" s="55">
        <v>1</v>
      </c>
      <c r="AN39" s="41">
        <v>7</v>
      </c>
      <c r="AO39" s="3"/>
      <c r="AP39" s="6" t="s">
        <v>328</v>
      </c>
      <c r="AQ39" s="12"/>
      <c r="AR39" s="3"/>
      <c r="AS39" s="12"/>
      <c r="AU39" s="12"/>
      <c r="AV39" s="3"/>
      <c r="AW39" s="12"/>
      <c r="AX39" s="26"/>
      <c r="AY39" s="12"/>
      <c r="AZ39" s="12" t="s">
        <v>369</v>
      </c>
      <c r="BA39" s="35" t="s">
        <v>381</v>
      </c>
      <c r="BB39" s="35">
        <v>370</v>
      </c>
      <c r="BC39" s="35">
        <v>3000</v>
      </c>
      <c r="BD39" s="35">
        <v>963</v>
      </c>
      <c r="BE39">
        <v>600</v>
      </c>
      <c r="BF39">
        <f>BG35/BF35</f>
        <v>2.4763440860215056</v>
      </c>
      <c r="BG39">
        <f>BH35/BG35</f>
        <v>2.3810247503256621</v>
      </c>
      <c r="BH39">
        <f>BG39*BF39</f>
        <v>5.8962365591397852</v>
      </c>
    </row>
    <row r="40" spans="1:60" ht="23.25" customHeight="1" thickBot="1" x14ac:dyDescent="0.3">
      <c r="A40" s="344" t="s">
        <v>317</v>
      </c>
      <c r="B40" s="344"/>
      <c r="C40" s="344"/>
      <c r="D40" s="344"/>
      <c r="E40" s="344"/>
      <c r="F40" s="344"/>
      <c r="G40" s="344"/>
      <c r="H40" s="344"/>
      <c r="I40" s="275"/>
      <c r="J40" s="275"/>
      <c r="K40" s="275"/>
      <c r="L40" s="275"/>
      <c r="M40" s="275"/>
      <c r="N40" s="275"/>
      <c r="O40" s="275"/>
      <c r="P40" s="68"/>
      <c r="Q40" s="456" t="s">
        <v>114</v>
      </c>
      <c r="R40" s="457"/>
      <c r="S40" s="457"/>
      <c r="T40" s="457"/>
      <c r="U40" s="505">
        <f>T85</f>
        <v>8</v>
      </c>
      <c r="V40" s="505"/>
      <c r="W40" s="505"/>
      <c r="X40" s="505"/>
      <c r="Y40" s="505"/>
      <c r="Z40" s="505"/>
      <c r="AA40" s="457"/>
      <c r="AB40" s="457"/>
      <c r="AC40" s="457"/>
      <c r="AD40" s="457"/>
      <c r="AE40" s="460"/>
      <c r="AF40" s="460"/>
      <c r="AG40" s="460"/>
      <c r="AH40" s="460"/>
      <c r="AI40" s="460"/>
      <c r="AJ40" s="460"/>
      <c r="AK40" s="461"/>
      <c r="AM40" s="55">
        <v>1</v>
      </c>
      <c r="AN40" s="41">
        <v>8</v>
      </c>
      <c r="AO40" s="3"/>
      <c r="AP40" s="3" t="s">
        <v>329</v>
      </c>
      <c r="AQ40" s="12"/>
      <c r="AR40" s="3"/>
      <c r="AS40" s="12"/>
      <c r="AT40" s="3"/>
      <c r="AU40" s="12"/>
      <c r="AV40" s="3"/>
      <c r="AW40" s="12"/>
      <c r="AX40" s="26"/>
      <c r="AY40" s="12"/>
      <c r="AZ40" s="12" t="s">
        <v>370</v>
      </c>
      <c r="BA40" s="35" t="s">
        <v>382</v>
      </c>
      <c r="BB40" s="35">
        <v>440</v>
      </c>
      <c r="BC40" s="35">
        <v>3000</v>
      </c>
      <c r="BD40" s="35">
        <v>1860</v>
      </c>
      <c r="BE40">
        <v>600</v>
      </c>
      <c r="BF40">
        <f t="shared" ref="BF40:BG40" si="0">BG36/BF36</f>
        <v>2.7099697885196377</v>
      </c>
      <c r="BG40">
        <f t="shared" si="0"/>
        <v>2.5011148272017838</v>
      </c>
      <c r="BH40">
        <f t="shared" ref="BH40:BH41" si="1">BG40*BF40</f>
        <v>6.7779456193353482</v>
      </c>
    </row>
    <row r="41" spans="1:60" ht="23.25" customHeight="1" thickBot="1" x14ac:dyDescent="0.3">
      <c r="A41" s="344" t="s">
        <v>318</v>
      </c>
      <c r="B41" s="344"/>
      <c r="C41" s="344"/>
      <c r="D41" s="344"/>
      <c r="E41" s="344"/>
      <c r="F41" s="344"/>
      <c r="G41" s="344"/>
      <c r="H41" s="344"/>
      <c r="I41" s="275"/>
      <c r="J41" s="275"/>
      <c r="K41" s="275"/>
      <c r="L41" s="275"/>
      <c r="M41" s="275"/>
      <c r="N41" s="275"/>
      <c r="O41" s="275"/>
      <c r="P41" s="68"/>
      <c r="Q41" s="384" t="s">
        <v>321</v>
      </c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85"/>
      <c r="AC41" s="385"/>
      <c r="AD41" s="385"/>
      <c r="AE41" s="385"/>
      <c r="AF41" s="385"/>
      <c r="AG41" s="385"/>
      <c r="AH41" s="385"/>
      <c r="AI41" s="385"/>
      <c r="AJ41" s="385"/>
      <c r="AK41" s="386"/>
      <c r="AM41" s="55">
        <v>1</v>
      </c>
      <c r="AN41" s="41">
        <v>9</v>
      </c>
      <c r="AO41" s="12"/>
      <c r="AP41" s="3" t="s">
        <v>331</v>
      </c>
      <c r="AQ41" s="12"/>
      <c r="AR41" s="3"/>
      <c r="AS41" s="12"/>
      <c r="AT41" s="3"/>
      <c r="AU41" s="12"/>
      <c r="AV41" s="3"/>
      <c r="AW41" s="12"/>
      <c r="AX41" s="26"/>
      <c r="AY41" s="12"/>
      <c r="AZ41" s="12" t="s">
        <v>371</v>
      </c>
      <c r="BA41" s="35" t="s">
        <v>383</v>
      </c>
      <c r="BB41" s="35">
        <v>650</v>
      </c>
      <c r="BC41" s="35">
        <v>4000</v>
      </c>
      <c r="BD41" s="35">
        <v>668</v>
      </c>
      <c r="BE41">
        <v>600</v>
      </c>
      <c r="BF41">
        <f t="shared" ref="BF41:BG41" si="2">BG37/BF37</f>
        <v>2.7435098650051919</v>
      </c>
      <c r="BG41">
        <f t="shared" si="2"/>
        <v>2.5333080999242998</v>
      </c>
      <c r="BH41">
        <f t="shared" si="1"/>
        <v>6.9501557632398754</v>
      </c>
    </row>
    <row r="42" spans="1:60" ht="23.25" customHeight="1" x14ac:dyDescent="0.25">
      <c r="A42" s="344" t="s">
        <v>238</v>
      </c>
      <c r="B42" s="344"/>
      <c r="C42" s="344"/>
      <c r="D42" s="344"/>
      <c r="E42" s="344"/>
      <c r="F42" s="344"/>
      <c r="G42" s="344"/>
      <c r="H42" s="344"/>
      <c r="I42" s="275"/>
      <c r="J42" s="275"/>
      <c r="K42" s="275"/>
      <c r="L42" s="275"/>
      <c r="M42" s="275"/>
      <c r="N42" s="275"/>
      <c r="O42" s="275"/>
      <c r="P42" s="68"/>
      <c r="Q42" s="450" t="s">
        <v>338</v>
      </c>
      <c r="R42" s="451"/>
      <c r="S42" s="451"/>
      <c r="T42" s="451"/>
      <c r="U42" s="451"/>
      <c r="V42" s="451"/>
      <c r="W42" s="448"/>
      <c r="X42" s="448"/>
      <c r="Y42" s="448"/>
      <c r="Z42" s="448"/>
      <c r="AA42" s="448"/>
      <c r="AB42" s="448"/>
      <c r="AC42" s="448"/>
      <c r="AD42" s="448"/>
      <c r="AE42" s="448"/>
      <c r="AF42" s="448"/>
      <c r="AG42" s="448"/>
      <c r="AH42" s="448"/>
      <c r="AI42" s="448"/>
      <c r="AJ42" s="448"/>
      <c r="AK42" s="449"/>
      <c r="AM42" s="55">
        <v>1</v>
      </c>
      <c r="AN42" s="41">
        <v>10</v>
      </c>
      <c r="AO42" s="12"/>
      <c r="AP42" s="12" t="s">
        <v>330</v>
      </c>
      <c r="AQ42" s="12"/>
      <c r="AR42" s="3"/>
      <c r="AS42" s="12"/>
      <c r="AT42" s="3"/>
      <c r="AU42" s="12"/>
      <c r="AV42" s="3"/>
      <c r="AW42" s="3"/>
      <c r="AX42" s="26"/>
      <c r="AY42" s="12"/>
      <c r="AZ42" s="3" t="s">
        <v>372</v>
      </c>
      <c r="BA42" s="35" t="s">
        <v>377</v>
      </c>
      <c r="BB42" s="35">
        <v>165</v>
      </c>
      <c r="BC42" s="35"/>
      <c r="BD42" s="35">
        <v>1600</v>
      </c>
      <c r="BE42">
        <v>600</v>
      </c>
    </row>
    <row r="43" spans="1:60" ht="23.25" customHeight="1" x14ac:dyDescent="0.4">
      <c r="A43" s="344" t="s">
        <v>239</v>
      </c>
      <c r="B43" s="344"/>
      <c r="C43" s="344"/>
      <c r="D43" s="344"/>
      <c r="E43" s="344"/>
      <c r="F43" s="344"/>
      <c r="G43" s="344"/>
      <c r="H43" s="344"/>
      <c r="I43" s="275"/>
      <c r="J43" s="275"/>
      <c r="K43" s="275"/>
      <c r="L43" s="275"/>
      <c r="M43" s="275"/>
      <c r="N43" s="275"/>
      <c r="O43" s="275"/>
      <c r="P43" s="68"/>
      <c r="Q43" s="494" t="s">
        <v>323</v>
      </c>
      <c r="R43" s="495"/>
      <c r="S43" s="495"/>
      <c r="T43" s="495"/>
      <c r="U43" s="495"/>
      <c r="V43" s="495"/>
      <c r="W43" s="495"/>
      <c r="X43" s="495"/>
      <c r="Y43" s="495"/>
      <c r="Z43" s="495"/>
      <c r="AA43" s="507">
        <v>1</v>
      </c>
      <c r="AB43" s="507"/>
      <c r="AC43" s="507"/>
      <c r="AD43" s="507"/>
      <c r="AE43" s="507"/>
      <c r="AF43" s="507"/>
      <c r="AG43" s="507"/>
      <c r="AH43" s="507"/>
      <c r="AI43" s="507"/>
      <c r="AJ43" s="507"/>
      <c r="AK43" s="508"/>
      <c r="AM43" s="55">
        <v>1</v>
      </c>
      <c r="AN43" s="41">
        <v>11</v>
      </c>
      <c r="AR43" s="1"/>
      <c r="AT43" s="1"/>
      <c r="AV43" s="1"/>
      <c r="AW43" s="1"/>
      <c r="AX43" s="15"/>
      <c r="AZ43" s="1" t="s">
        <v>376</v>
      </c>
      <c r="BA43" s="15"/>
      <c r="BB43" s="56">
        <v>135</v>
      </c>
      <c r="BC43" s="35"/>
      <c r="BF43">
        <v>2.5</v>
      </c>
      <c r="BG43">
        <v>2.5</v>
      </c>
    </row>
    <row r="44" spans="1:60" ht="23.25" customHeight="1" thickBot="1" x14ac:dyDescent="0.45">
      <c r="A44" s="284" t="s">
        <v>538</v>
      </c>
      <c r="B44" s="284"/>
      <c r="C44" s="284"/>
      <c r="D44" s="284"/>
      <c r="E44" s="284"/>
      <c r="F44" s="284"/>
      <c r="G44" s="284"/>
      <c r="H44" s="284"/>
      <c r="I44" s="275"/>
      <c r="J44" s="275"/>
      <c r="K44" s="275"/>
      <c r="L44" s="275"/>
      <c r="M44" s="275"/>
      <c r="N44" s="275"/>
      <c r="O44" s="275"/>
      <c r="P44" s="68"/>
      <c r="Q44" s="496" t="s">
        <v>322</v>
      </c>
      <c r="R44" s="497"/>
      <c r="S44" s="497"/>
      <c r="T44" s="497"/>
      <c r="U44" s="215"/>
      <c r="V44" s="500" t="s">
        <v>347</v>
      </c>
      <c r="W44" s="500"/>
      <c r="X44" s="500"/>
      <c r="Y44" s="500"/>
      <c r="Z44" s="500"/>
      <c r="AA44" s="498">
        <f>AA43*1.14975</f>
        <v>1.14975</v>
      </c>
      <c r="AB44" s="498"/>
      <c r="AC44" s="498"/>
      <c r="AD44" s="498"/>
      <c r="AE44" s="498"/>
      <c r="AF44" s="498"/>
      <c r="AG44" s="498"/>
      <c r="AH44" s="498"/>
      <c r="AI44" s="498"/>
      <c r="AJ44" s="498"/>
      <c r="AK44" s="499"/>
      <c r="AM44" s="206">
        <v>1</v>
      </c>
    </row>
    <row r="45" spans="1:60" ht="23.25" customHeight="1" thickTop="1" x14ac:dyDescent="0.25">
      <c r="B45" s="402" t="s">
        <v>29</v>
      </c>
      <c r="C45" s="403"/>
      <c r="D45" s="403"/>
      <c r="E45" s="403"/>
      <c r="F45" s="403"/>
      <c r="G45" s="404"/>
      <c r="I45" s="399">
        <v>85</v>
      </c>
      <c r="J45" s="400"/>
      <c r="K45" s="400"/>
      <c r="L45" s="400"/>
      <c r="M45" s="400"/>
      <c r="N45" s="400"/>
      <c r="O45" s="401"/>
      <c r="P45" s="68"/>
      <c r="Q45" s="269"/>
      <c r="R45" s="265" t="s">
        <v>348</v>
      </c>
      <c r="S45" s="265"/>
      <c r="T45" s="265"/>
      <c r="U45" s="265"/>
      <c r="V45" s="265"/>
      <c r="W45" s="265"/>
      <c r="X45" s="265" t="s">
        <v>349</v>
      </c>
      <c r="Y45" s="265"/>
      <c r="Z45" s="265"/>
      <c r="AA45" s="265" t="s">
        <v>350</v>
      </c>
      <c r="AB45" s="265"/>
      <c r="AC45" s="265"/>
      <c r="AD45" s="265" t="s">
        <v>351</v>
      </c>
      <c r="AE45" s="265"/>
      <c r="AF45" s="265" t="s">
        <v>352</v>
      </c>
      <c r="AG45" s="265"/>
      <c r="AH45" s="265"/>
      <c r="AI45" s="265"/>
      <c r="AJ45" s="265"/>
      <c r="AK45" s="267"/>
    </row>
    <row r="46" spans="1:60" ht="23.25" customHeight="1" thickBot="1" x14ac:dyDescent="0.35">
      <c r="A46" s="396" t="s">
        <v>569</v>
      </c>
      <c r="B46" s="397"/>
      <c r="C46" s="397"/>
      <c r="D46" s="397"/>
      <c r="E46" s="397"/>
      <c r="F46" s="397"/>
      <c r="G46" s="397"/>
      <c r="H46" s="397"/>
      <c r="I46" s="397"/>
      <c r="J46" s="397"/>
      <c r="K46" s="397"/>
      <c r="L46" s="397"/>
      <c r="M46" s="397"/>
      <c r="N46" s="397"/>
      <c r="O46" s="398"/>
      <c r="P46" s="220"/>
      <c r="Q46" s="217" t="s">
        <v>568</v>
      </c>
      <c r="R46" s="218"/>
      <c r="S46" s="218"/>
      <c r="T46" s="218"/>
      <c r="U46" s="218"/>
      <c r="V46" s="218"/>
      <c r="W46" s="216"/>
      <c r="X46" s="219"/>
      <c r="Y46" s="266"/>
      <c r="Z46" s="266"/>
      <c r="AA46" s="266" t="s">
        <v>105</v>
      </c>
      <c r="AB46" s="266"/>
      <c r="AC46" s="266"/>
      <c r="AD46" s="266"/>
      <c r="AE46" s="266"/>
      <c r="AF46" s="266" t="s">
        <v>101</v>
      </c>
      <c r="AG46" s="266"/>
      <c r="AH46" s="266"/>
      <c r="AI46" s="266"/>
      <c r="AJ46" s="266"/>
      <c r="AK46" s="268"/>
    </row>
    <row r="47" spans="1:60" ht="23.25" customHeight="1" x14ac:dyDescent="0.25">
      <c r="A47" s="661"/>
      <c r="B47" s="662"/>
      <c r="C47" s="662"/>
      <c r="D47" s="662"/>
      <c r="E47" s="662"/>
      <c r="F47" s="662"/>
      <c r="G47" s="662"/>
      <c r="H47" s="662"/>
      <c r="I47" s="662"/>
      <c r="J47" s="662"/>
      <c r="K47" s="662"/>
      <c r="L47" s="662"/>
      <c r="M47" s="662"/>
      <c r="N47" s="662"/>
      <c r="O47" s="662"/>
      <c r="P47" s="662"/>
      <c r="Q47" s="662"/>
      <c r="R47" s="662"/>
      <c r="S47" s="662"/>
      <c r="T47" s="662"/>
      <c r="U47" s="662"/>
      <c r="V47" s="662"/>
      <c r="W47" s="662"/>
      <c r="X47" s="662"/>
      <c r="Y47" s="662"/>
      <c r="Z47" s="662"/>
      <c r="AA47" s="662"/>
      <c r="AB47" s="662"/>
      <c r="AC47" s="662"/>
      <c r="AD47" s="662"/>
      <c r="AE47" s="662"/>
      <c r="AF47" s="662"/>
      <c r="AG47" s="662"/>
      <c r="AH47" s="662"/>
      <c r="AI47" s="662"/>
      <c r="AJ47" s="662"/>
      <c r="AK47" s="663"/>
    </row>
    <row r="48" spans="1:60" ht="23.25" customHeight="1" x14ac:dyDescent="0.25">
      <c r="A48" s="661"/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662"/>
      <c r="AB48" s="662"/>
      <c r="AC48" s="662"/>
      <c r="AD48" s="662"/>
      <c r="AE48" s="662"/>
      <c r="AF48" s="662"/>
      <c r="AG48" s="662"/>
      <c r="AH48" s="662"/>
      <c r="AI48" s="662"/>
      <c r="AJ48" s="662"/>
      <c r="AK48" s="663"/>
      <c r="AP48" s="44" t="s">
        <v>362</v>
      </c>
      <c r="AQ48" s="44" t="s">
        <v>362</v>
      </c>
      <c r="AR48" t="s">
        <v>668</v>
      </c>
    </row>
    <row r="49" spans="1:53" ht="23.25" customHeight="1" x14ac:dyDescent="0.25">
      <c r="A49" s="661"/>
      <c r="B49" s="662"/>
      <c r="C49" s="662"/>
      <c r="D49" s="662"/>
      <c r="E49" s="662"/>
      <c r="F49" s="662"/>
      <c r="G49" s="662"/>
      <c r="H49" s="662"/>
      <c r="I49" s="662"/>
      <c r="J49" s="662"/>
      <c r="K49" s="662"/>
      <c r="L49" s="662"/>
      <c r="M49" s="662"/>
      <c r="N49" s="662"/>
      <c r="O49" s="662"/>
      <c r="P49" s="662"/>
      <c r="Q49" s="662"/>
      <c r="R49" s="662"/>
      <c r="S49" s="662"/>
      <c r="T49" s="662"/>
      <c r="U49" s="662"/>
      <c r="V49" s="662"/>
      <c r="W49" s="662"/>
      <c r="X49" s="662"/>
      <c r="Y49" s="662"/>
      <c r="Z49" s="662"/>
      <c r="AA49" s="662"/>
      <c r="AB49" s="662"/>
      <c r="AC49" s="662"/>
      <c r="AD49" s="662"/>
      <c r="AE49" s="662"/>
      <c r="AF49" s="662"/>
      <c r="AG49" s="662"/>
      <c r="AH49" s="662"/>
      <c r="AI49" s="662"/>
      <c r="AJ49" s="662"/>
      <c r="AK49" s="663"/>
    </row>
    <row r="50" spans="1:53" ht="23.25" customHeight="1" x14ac:dyDescent="0.25">
      <c r="A50" s="661"/>
      <c r="B50" s="662"/>
      <c r="C50" s="662"/>
      <c r="D50" s="662"/>
      <c r="E50" s="662"/>
      <c r="F50" s="662"/>
      <c r="G50" s="662"/>
      <c r="H50" s="662"/>
      <c r="I50" s="662"/>
      <c r="J50" s="662"/>
      <c r="K50" s="662"/>
      <c r="L50" s="662"/>
      <c r="M50" s="662"/>
      <c r="N50" s="662"/>
      <c r="O50" s="662"/>
      <c r="P50" s="662"/>
      <c r="Q50" s="662"/>
      <c r="R50" s="662"/>
      <c r="S50" s="662"/>
      <c r="T50" s="662"/>
      <c r="U50" s="662"/>
      <c r="V50" s="662"/>
      <c r="W50" s="662"/>
      <c r="X50" s="662"/>
      <c r="Y50" s="662"/>
      <c r="Z50" s="662"/>
      <c r="AA50" s="662"/>
      <c r="AB50" s="662"/>
      <c r="AC50" s="662"/>
      <c r="AD50" s="662"/>
      <c r="AE50" s="662"/>
      <c r="AF50" s="662"/>
      <c r="AG50" s="662"/>
      <c r="AH50" s="662"/>
      <c r="AI50" s="662"/>
      <c r="AJ50" s="662"/>
      <c r="AK50" s="663"/>
    </row>
    <row r="51" spans="1:53" ht="23.25" customHeight="1" x14ac:dyDescent="0.25">
      <c r="A51" s="664"/>
      <c r="B51" s="665"/>
      <c r="C51" s="665"/>
      <c r="D51" s="665"/>
      <c r="E51" s="665"/>
      <c r="F51" s="665"/>
      <c r="G51" s="665"/>
      <c r="H51" s="665"/>
      <c r="I51" s="665"/>
      <c r="J51" s="665"/>
      <c r="K51" s="665"/>
      <c r="L51" s="665"/>
      <c r="M51" s="665"/>
      <c r="N51" s="665"/>
      <c r="O51" s="665"/>
      <c r="P51" s="665"/>
      <c r="Q51" s="665"/>
      <c r="R51" s="665"/>
      <c r="S51" s="665"/>
      <c r="T51" s="665"/>
      <c r="U51" s="665"/>
      <c r="V51" s="665"/>
      <c r="W51" s="665"/>
      <c r="X51" s="665"/>
      <c r="Y51" s="665"/>
      <c r="Z51" s="665"/>
      <c r="AA51" s="665"/>
      <c r="AB51" s="665"/>
      <c r="AC51" s="665"/>
      <c r="AD51" s="665"/>
      <c r="AE51" s="665"/>
      <c r="AF51" s="665"/>
      <c r="AG51" s="665"/>
      <c r="AH51" s="665"/>
      <c r="AI51" s="665"/>
      <c r="AJ51" s="665"/>
      <c r="AK51" s="666"/>
    </row>
    <row r="52" spans="1:53" ht="16.5" thickBot="1" x14ac:dyDescent="0.3">
      <c r="A52" s="472" t="s">
        <v>211</v>
      </c>
      <c r="B52" s="473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73"/>
      <c r="AI52" s="473"/>
      <c r="AJ52" s="473"/>
      <c r="AK52" s="474"/>
      <c r="AN52" s="41"/>
      <c r="AO52" s="1">
        <v>1</v>
      </c>
      <c r="AP52" s="48"/>
      <c r="AQ52" s="48">
        <v>0</v>
      </c>
      <c r="AR52" s="270">
        <v>0</v>
      </c>
      <c r="AS52" s="1"/>
      <c r="AT52" s="1"/>
      <c r="AU52" s="1"/>
      <c r="AV52" s="1"/>
      <c r="AW52" s="1"/>
      <c r="AX52" s="15"/>
      <c r="AZ52" s="1"/>
      <c r="BA52" s="15"/>
    </row>
    <row r="53" spans="1:53" ht="18" customHeight="1" x14ac:dyDescent="0.25">
      <c r="A53" s="511" t="s">
        <v>1</v>
      </c>
      <c r="B53" s="512"/>
      <c r="C53" s="512" t="s">
        <v>209</v>
      </c>
      <c r="D53" s="512"/>
      <c r="E53" s="512"/>
      <c r="F53" s="512"/>
      <c r="G53" s="512" t="s">
        <v>207</v>
      </c>
      <c r="H53" s="512"/>
      <c r="I53" s="512"/>
      <c r="J53" s="512" t="s">
        <v>208</v>
      </c>
      <c r="K53" s="512"/>
      <c r="L53" s="512"/>
      <c r="M53" s="448" t="s">
        <v>675</v>
      </c>
      <c r="N53" s="448"/>
      <c r="O53" s="448"/>
      <c r="P53" s="448" t="s">
        <v>673</v>
      </c>
      <c r="Q53" s="448"/>
      <c r="R53" s="448"/>
      <c r="S53" s="448" t="s">
        <v>673</v>
      </c>
      <c r="T53" s="448"/>
      <c r="U53" s="448"/>
      <c r="V53" s="448" t="s">
        <v>673</v>
      </c>
      <c r="W53" s="448"/>
      <c r="X53" s="448"/>
      <c r="Y53" s="448" t="s">
        <v>673</v>
      </c>
      <c r="Z53" s="448"/>
      <c r="AA53" s="448"/>
      <c r="AB53" s="448" t="s">
        <v>673</v>
      </c>
      <c r="AC53" s="448"/>
      <c r="AD53" s="448"/>
      <c r="AE53" s="448" t="s">
        <v>673</v>
      </c>
      <c r="AF53" s="448"/>
      <c r="AG53" s="448"/>
      <c r="AH53" s="448" t="s">
        <v>673</v>
      </c>
      <c r="AI53" s="448"/>
      <c r="AJ53" s="448"/>
      <c r="AK53" s="501" t="s">
        <v>210</v>
      </c>
      <c r="AN53" s="41"/>
      <c r="AO53">
        <v>2</v>
      </c>
      <c r="AP53" s="50" t="s">
        <v>301</v>
      </c>
      <c r="AQ53" s="50">
        <v>0</v>
      </c>
      <c r="AR53" s="270">
        <v>0</v>
      </c>
      <c r="AS53" s="1"/>
      <c r="AT53" s="1"/>
      <c r="AU53" s="1"/>
      <c r="AV53" s="1"/>
      <c r="AW53" s="1"/>
      <c r="AX53" s="15"/>
      <c r="AZ53" s="1"/>
      <c r="BA53" s="15"/>
    </row>
    <row r="54" spans="1:53" ht="18" customHeight="1" x14ac:dyDescent="0.25">
      <c r="A54" s="513"/>
      <c r="B54" s="514"/>
      <c r="C54" s="514"/>
      <c r="D54" s="514"/>
      <c r="E54" s="514"/>
      <c r="F54" s="514"/>
      <c r="G54" s="514"/>
      <c r="H54" s="514"/>
      <c r="I54" s="514"/>
      <c r="J54" s="514"/>
      <c r="K54" s="514"/>
      <c r="L54" s="514"/>
      <c r="M54" s="320" t="s">
        <v>676</v>
      </c>
      <c r="N54" s="320"/>
      <c r="O54" s="320"/>
      <c r="P54" s="320" t="s">
        <v>674</v>
      </c>
      <c r="Q54" s="320"/>
      <c r="R54" s="320"/>
      <c r="S54" s="320" t="s">
        <v>674</v>
      </c>
      <c r="T54" s="320"/>
      <c r="U54" s="320"/>
      <c r="V54" s="320" t="s">
        <v>674</v>
      </c>
      <c r="W54" s="320"/>
      <c r="X54" s="320"/>
      <c r="Y54" s="320" t="s">
        <v>674</v>
      </c>
      <c r="Z54" s="320"/>
      <c r="AA54" s="320"/>
      <c r="AB54" s="320" t="s">
        <v>674</v>
      </c>
      <c r="AC54" s="320"/>
      <c r="AD54" s="320"/>
      <c r="AE54" s="320" t="s">
        <v>674</v>
      </c>
      <c r="AF54" s="320"/>
      <c r="AG54" s="320"/>
      <c r="AH54" s="320" t="s">
        <v>674</v>
      </c>
      <c r="AI54" s="320"/>
      <c r="AJ54" s="320"/>
      <c r="AK54" s="502"/>
      <c r="AO54">
        <v>3</v>
      </c>
      <c r="AP54" s="50" t="s">
        <v>83</v>
      </c>
      <c r="AQ54" s="274">
        <f ca="1">AQ63*3.5%</f>
        <v>45.446274999999993</v>
      </c>
      <c r="AR54" s="271">
        <v>3.5000000000000003E-2</v>
      </c>
      <c r="AS54" s="1"/>
      <c r="AT54" s="1"/>
      <c r="AU54" s="1"/>
      <c r="AV54" s="1"/>
      <c r="AW54" s="1"/>
      <c r="AX54" s="15"/>
      <c r="AZ54" s="1"/>
      <c r="BA54" s="15"/>
    </row>
    <row r="55" spans="1:53" ht="18" customHeight="1" thickBot="1" x14ac:dyDescent="0.3">
      <c r="A55" s="515"/>
      <c r="B55" s="516"/>
      <c r="C55" s="516"/>
      <c r="D55" s="516"/>
      <c r="E55" s="516"/>
      <c r="F55" s="516"/>
      <c r="G55" s="516"/>
      <c r="H55" s="516"/>
      <c r="I55" s="516"/>
      <c r="J55" s="516"/>
      <c r="K55" s="516"/>
      <c r="L55" s="516"/>
      <c r="M55" s="322" t="s">
        <v>677</v>
      </c>
      <c r="N55" s="322"/>
      <c r="O55" s="322"/>
      <c r="P55" s="322" t="s">
        <v>199</v>
      </c>
      <c r="Q55" s="322"/>
      <c r="R55" s="322"/>
      <c r="S55" s="322" t="s">
        <v>199</v>
      </c>
      <c r="T55" s="322"/>
      <c r="U55" s="322"/>
      <c r="V55" s="322" t="s">
        <v>199</v>
      </c>
      <c r="W55" s="322"/>
      <c r="X55" s="322"/>
      <c r="Y55" s="322" t="s">
        <v>199</v>
      </c>
      <c r="Z55" s="322"/>
      <c r="AA55" s="322"/>
      <c r="AB55" s="322" t="s">
        <v>199</v>
      </c>
      <c r="AC55" s="322"/>
      <c r="AD55" s="322"/>
      <c r="AE55" s="322" t="s">
        <v>199</v>
      </c>
      <c r="AF55" s="322"/>
      <c r="AG55" s="322"/>
      <c r="AH55" s="322" t="s">
        <v>199</v>
      </c>
      <c r="AI55" s="322"/>
      <c r="AJ55" s="322"/>
      <c r="AK55" s="503"/>
      <c r="AO55" s="1">
        <v>4</v>
      </c>
      <c r="AP55" s="50" t="s">
        <v>87</v>
      </c>
      <c r="AQ55" s="50">
        <f>0</f>
        <v>0</v>
      </c>
      <c r="AR55" s="270">
        <v>0</v>
      </c>
      <c r="AS55" s="1"/>
      <c r="AT55" s="1"/>
      <c r="AU55" s="1"/>
      <c r="AV55" s="1"/>
      <c r="AW55" s="1"/>
      <c r="AX55" s="15"/>
      <c r="AZ55" s="1"/>
      <c r="BA55" s="15"/>
    </row>
    <row r="56" spans="1:53" ht="18" customHeight="1" thickBot="1" x14ac:dyDescent="0.3">
      <c r="A56" s="425" t="s">
        <v>5</v>
      </c>
      <c r="B56" s="426"/>
      <c r="C56" s="518">
        <f>SUM(C57:F63)</f>
        <v>0</v>
      </c>
      <c r="D56" s="518"/>
      <c r="E56" s="518"/>
      <c r="F56" s="518"/>
      <c r="G56" s="519"/>
      <c r="H56" s="519"/>
      <c r="I56" s="519"/>
      <c r="J56" s="519"/>
      <c r="K56" s="519"/>
      <c r="L56" s="519"/>
      <c r="M56" s="520">
        <f>SUM(M57:O63)</f>
        <v>0</v>
      </c>
      <c r="N56" s="521"/>
      <c r="O56" s="522"/>
      <c r="P56" s="520">
        <f t="shared" ref="P56" si="3">SUM(P57:R63)</f>
        <v>0</v>
      </c>
      <c r="Q56" s="521"/>
      <c r="R56" s="522"/>
      <c r="S56" s="520">
        <f t="shared" ref="S56" si="4">SUM(S57:U63)</f>
        <v>0</v>
      </c>
      <c r="T56" s="521"/>
      <c r="U56" s="522"/>
      <c r="V56" s="520">
        <f t="shared" ref="V56" si="5">SUM(V57:X63)</f>
        <v>0</v>
      </c>
      <c r="W56" s="521"/>
      <c r="X56" s="522"/>
      <c r="Y56" s="520">
        <f t="shared" ref="Y56" si="6">SUM(Y57:AA63)</f>
        <v>0</v>
      </c>
      <c r="Z56" s="521"/>
      <c r="AA56" s="522"/>
      <c r="AB56" s="520">
        <f t="shared" ref="AB56" si="7">SUM(AB57:AD63)</f>
        <v>0</v>
      </c>
      <c r="AC56" s="521"/>
      <c r="AD56" s="522"/>
      <c r="AE56" s="520">
        <f t="shared" ref="AE56" si="8">SUM(AE57:AG63)</f>
        <v>0</v>
      </c>
      <c r="AF56" s="521"/>
      <c r="AG56" s="522"/>
      <c r="AH56" s="520">
        <f t="shared" ref="AH56" si="9">SUM(AH57:AJ63)</f>
        <v>0</v>
      </c>
      <c r="AI56" s="521"/>
      <c r="AJ56" s="522"/>
      <c r="AK56" s="72"/>
      <c r="AN56" s="41"/>
      <c r="AO56" s="1">
        <v>5</v>
      </c>
      <c r="AP56" s="50" t="s">
        <v>95</v>
      </c>
      <c r="AQ56" s="50">
        <f>IF($AF$5*0.1&lt;1000,1000,$AF$5*0.1)</f>
        <v>1000</v>
      </c>
      <c r="AR56" s="272" t="s">
        <v>669</v>
      </c>
      <c r="AS56" s="1"/>
      <c r="AT56" s="1"/>
      <c r="AU56" s="1"/>
      <c r="AV56" s="1"/>
      <c r="AW56" s="1"/>
      <c r="AX56" s="15"/>
      <c r="AZ56" s="1"/>
      <c r="BA56" s="15"/>
    </row>
    <row r="57" spans="1:53" ht="24.75" customHeight="1" x14ac:dyDescent="0.25">
      <c r="A57" s="517"/>
      <c r="B57" s="448"/>
      <c r="C57" s="448"/>
      <c r="D57" s="448"/>
      <c r="E57" s="448"/>
      <c r="F57" s="448"/>
      <c r="G57" s="448"/>
      <c r="H57" s="448"/>
      <c r="I57" s="448"/>
      <c r="J57" s="448"/>
      <c r="K57" s="448"/>
      <c r="L57" s="448"/>
      <c r="M57" s="432"/>
      <c r="N57" s="432"/>
      <c r="O57" s="432"/>
      <c r="P57" s="432"/>
      <c r="Q57" s="432"/>
      <c r="R57" s="432"/>
      <c r="S57" s="432"/>
      <c r="T57" s="432"/>
      <c r="U57" s="432"/>
      <c r="V57" s="432"/>
      <c r="W57" s="432"/>
      <c r="X57" s="432"/>
      <c r="Y57" s="432"/>
      <c r="Z57" s="432"/>
      <c r="AA57" s="432"/>
      <c r="AB57" s="432"/>
      <c r="AC57" s="432"/>
      <c r="AD57" s="432"/>
      <c r="AE57" s="432"/>
      <c r="AF57" s="432"/>
      <c r="AG57" s="432"/>
      <c r="AH57" s="432"/>
      <c r="AI57" s="432"/>
      <c r="AJ57" s="432"/>
      <c r="AK57" s="121"/>
      <c r="AN57" s="41"/>
      <c r="AO57" s="1">
        <v>6</v>
      </c>
      <c r="AP57" s="50" t="s">
        <v>99</v>
      </c>
      <c r="AQ57" s="50">
        <f>IF($AF$5*0.15&lt;1000,1000,$AF$5*0.15)</f>
        <v>1000</v>
      </c>
      <c r="AR57" s="272" t="s">
        <v>671</v>
      </c>
      <c r="AS57" s="1"/>
      <c r="AT57" s="1"/>
      <c r="AU57" s="1"/>
      <c r="AV57" s="1"/>
      <c r="AW57" s="1"/>
      <c r="AX57" s="15"/>
      <c r="AZ57" s="1"/>
      <c r="BA57" s="15"/>
    </row>
    <row r="58" spans="1:53" ht="24.75" customHeight="1" x14ac:dyDescent="0.25">
      <c r="A58" s="329"/>
      <c r="B58" s="320"/>
      <c r="C58" s="320"/>
      <c r="D58" s="320"/>
      <c r="E58" s="320"/>
      <c r="F58" s="320"/>
      <c r="G58" s="320"/>
      <c r="H58" s="320"/>
      <c r="I58" s="320"/>
      <c r="J58" s="320"/>
      <c r="K58" s="320"/>
      <c r="L58" s="320"/>
      <c r="M58" s="430"/>
      <c r="N58" s="430"/>
      <c r="O58" s="430"/>
      <c r="P58" s="430"/>
      <c r="Q58" s="430"/>
      <c r="R58" s="430"/>
      <c r="S58" s="430"/>
      <c r="T58" s="430"/>
      <c r="U58" s="430"/>
      <c r="V58" s="430"/>
      <c r="W58" s="430"/>
      <c r="X58" s="430"/>
      <c r="Y58" s="430"/>
      <c r="Z58" s="430"/>
      <c r="AA58" s="430"/>
      <c r="AB58" s="430"/>
      <c r="AC58" s="430"/>
      <c r="AD58" s="430"/>
      <c r="AE58" s="430"/>
      <c r="AF58" s="430"/>
      <c r="AG58" s="430"/>
      <c r="AH58" s="430"/>
      <c r="AI58" s="430"/>
      <c r="AJ58" s="430"/>
      <c r="AK58" s="122"/>
      <c r="AN58" s="41"/>
      <c r="AO58" s="1">
        <v>7</v>
      </c>
      <c r="AP58" s="50" t="s">
        <v>104</v>
      </c>
      <c r="AQ58" s="50">
        <f>IF($AF$5*0.2&lt;1000,1000,$AF$5*0.2)</f>
        <v>1000</v>
      </c>
      <c r="AR58" s="272" t="s">
        <v>672</v>
      </c>
      <c r="AS58" s="1"/>
      <c r="AT58" s="1"/>
      <c r="AU58" s="1"/>
      <c r="AV58" s="1"/>
      <c r="AW58" s="1"/>
      <c r="AX58" s="15"/>
      <c r="AZ58" s="1"/>
      <c r="BA58" s="15"/>
    </row>
    <row r="59" spans="1:53" ht="24.75" customHeight="1" x14ac:dyDescent="0.25">
      <c r="A59" s="329"/>
      <c r="B59" s="320"/>
      <c r="C59" s="320"/>
      <c r="D59" s="320"/>
      <c r="E59" s="320"/>
      <c r="F59" s="320"/>
      <c r="G59" s="320"/>
      <c r="H59" s="320"/>
      <c r="I59" s="320"/>
      <c r="J59" s="320"/>
      <c r="K59" s="320"/>
      <c r="L59" s="320"/>
      <c r="M59" s="430"/>
      <c r="N59" s="430"/>
      <c r="O59" s="430"/>
      <c r="P59" s="430"/>
      <c r="Q59" s="430"/>
      <c r="R59" s="430"/>
      <c r="S59" s="430"/>
      <c r="T59" s="430"/>
      <c r="U59" s="430"/>
      <c r="V59" s="430"/>
      <c r="W59" s="430"/>
      <c r="X59" s="430"/>
      <c r="Y59" s="430"/>
      <c r="Z59" s="430"/>
      <c r="AA59" s="430"/>
      <c r="AB59" s="430"/>
      <c r="AC59" s="430"/>
      <c r="AD59" s="430"/>
      <c r="AE59" s="430"/>
      <c r="AF59" s="430"/>
      <c r="AG59" s="430"/>
      <c r="AH59" s="430"/>
      <c r="AI59" s="430"/>
      <c r="AJ59" s="430"/>
      <c r="AK59" s="122"/>
      <c r="AN59" s="41"/>
      <c r="AO59" s="1">
        <v>8</v>
      </c>
      <c r="AP59" s="50" t="s">
        <v>108</v>
      </c>
      <c r="AQ59" s="50"/>
      <c r="AR59" s="272" t="s">
        <v>670</v>
      </c>
      <c r="AS59" s="1"/>
      <c r="AT59" s="1"/>
      <c r="AU59" s="1"/>
      <c r="AV59" s="1"/>
      <c r="AW59" s="1"/>
      <c r="AX59" s="15"/>
      <c r="AZ59" s="1"/>
      <c r="BA59" s="15"/>
    </row>
    <row r="60" spans="1:53" ht="24.75" customHeight="1" x14ac:dyDescent="0.25">
      <c r="A60" s="329"/>
      <c r="B60" s="320"/>
      <c r="C60" s="320"/>
      <c r="D60" s="320"/>
      <c r="E60" s="320"/>
      <c r="F60" s="320"/>
      <c r="G60" s="320"/>
      <c r="H60" s="320"/>
      <c r="I60" s="320"/>
      <c r="J60" s="320"/>
      <c r="K60" s="320"/>
      <c r="L60" s="320"/>
      <c r="M60" s="430"/>
      <c r="N60" s="430"/>
      <c r="O60" s="430"/>
      <c r="P60" s="430"/>
      <c r="Q60" s="430"/>
      <c r="R60" s="430"/>
      <c r="S60" s="430"/>
      <c r="T60" s="430"/>
      <c r="U60" s="430"/>
      <c r="V60" s="430"/>
      <c r="W60" s="430"/>
      <c r="X60" s="430"/>
      <c r="Y60" s="430"/>
      <c r="Z60" s="430"/>
      <c r="AA60" s="430"/>
      <c r="AB60" s="430"/>
      <c r="AC60" s="430"/>
      <c r="AD60" s="430"/>
      <c r="AE60" s="430"/>
      <c r="AF60" s="430"/>
      <c r="AG60" s="430"/>
      <c r="AH60" s="430"/>
      <c r="AI60" s="430"/>
      <c r="AJ60" s="430"/>
      <c r="AK60" s="122"/>
      <c r="AN60" s="41"/>
      <c r="AO60" s="1">
        <v>9</v>
      </c>
      <c r="AP60" s="50" t="s">
        <v>112</v>
      </c>
      <c r="AQ60" s="50"/>
      <c r="AR60" s="272" t="s">
        <v>670</v>
      </c>
      <c r="AS60" s="1"/>
      <c r="AT60" s="1"/>
      <c r="AU60" s="1"/>
      <c r="AV60" s="1"/>
      <c r="AW60" s="1"/>
      <c r="AX60" s="15"/>
      <c r="AZ60" s="1"/>
      <c r="BA60" s="15"/>
    </row>
    <row r="61" spans="1:53" ht="24.75" customHeight="1" x14ac:dyDescent="0.25">
      <c r="A61" s="329"/>
      <c r="B61" s="320"/>
      <c r="C61" s="320"/>
      <c r="D61" s="320"/>
      <c r="E61" s="320"/>
      <c r="F61" s="320"/>
      <c r="G61" s="320"/>
      <c r="H61" s="320"/>
      <c r="I61" s="320"/>
      <c r="J61" s="320"/>
      <c r="K61" s="320"/>
      <c r="L61" s="320"/>
      <c r="M61" s="430"/>
      <c r="N61" s="430"/>
      <c r="O61" s="430"/>
      <c r="P61" s="430"/>
      <c r="Q61" s="430"/>
      <c r="R61" s="430"/>
      <c r="S61" s="430"/>
      <c r="T61" s="430"/>
      <c r="U61" s="430"/>
      <c r="V61" s="430"/>
      <c r="W61" s="430"/>
      <c r="X61" s="430"/>
      <c r="Y61" s="430"/>
      <c r="Z61" s="430"/>
      <c r="AA61" s="430"/>
      <c r="AB61" s="430"/>
      <c r="AC61" s="430"/>
      <c r="AD61" s="430"/>
      <c r="AE61" s="430"/>
      <c r="AF61" s="430"/>
      <c r="AG61" s="430"/>
      <c r="AH61" s="430"/>
      <c r="AI61" s="430"/>
      <c r="AJ61" s="430"/>
      <c r="AK61" s="122"/>
      <c r="AN61" s="41"/>
      <c r="AP61" s="52"/>
      <c r="AQ61" s="52"/>
      <c r="AR61" s="1"/>
      <c r="AS61" s="1"/>
      <c r="AT61" s="1"/>
      <c r="AU61" s="1"/>
      <c r="AV61" s="1"/>
      <c r="AW61" s="1"/>
      <c r="AX61" s="15"/>
      <c r="AZ61" s="1"/>
      <c r="BA61" s="15"/>
    </row>
    <row r="62" spans="1:53" ht="24.75" customHeight="1" x14ac:dyDescent="0.25">
      <c r="A62" s="329"/>
      <c r="B62" s="320"/>
      <c r="C62" s="320"/>
      <c r="D62" s="320"/>
      <c r="E62" s="320"/>
      <c r="F62" s="320"/>
      <c r="G62" s="320"/>
      <c r="H62" s="320"/>
      <c r="I62" s="320"/>
      <c r="J62" s="320"/>
      <c r="K62" s="320"/>
      <c r="L62" s="320"/>
      <c r="M62" s="430"/>
      <c r="N62" s="430"/>
      <c r="O62" s="430"/>
      <c r="P62" s="430"/>
      <c r="Q62" s="430"/>
      <c r="R62" s="430"/>
      <c r="S62" s="430"/>
      <c r="T62" s="430"/>
      <c r="U62" s="430"/>
      <c r="V62" s="430"/>
      <c r="W62" s="430"/>
      <c r="X62" s="430"/>
      <c r="Y62" s="430"/>
      <c r="Z62" s="430"/>
      <c r="AA62" s="430"/>
      <c r="AB62" s="430"/>
      <c r="AC62" s="430"/>
      <c r="AD62" s="430"/>
      <c r="AE62" s="430"/>
      <c r="AF62" s="430"/>
      <c r="AG62" s="430"/>
      <c r="AH62" s="430"/>
      <c r="AI62" s="430"/>
      <c r="AJ62" s="430"/>
      <c r="AK62" s="122"/>
      <c r="AN62" s="41"/>
      <c r="AO62" s="1"/>
      <c r="AP62" s="43"/>
      <c r="AQ62" s="1"/>
      <c r="AR62" s="1"/>
      <c r="AS62" s="1"/>
      <c r="AT62" s="1"/>
      <c r="AU62" s="1"/>
      <c r="AV62" s="1"/>
      <c r="AW62" s="1"/>
      <c r="AX62" s="15"/>
      <c r="AZ62" s="1"/>
      <c r="BA62" s="15"/>
    </row>
    <row r="63" spans="1:53" ht="24.75" customHeight="1" thickBot="1" x14ac:dyDescent="0.3">
      <c r="A63" s="433"/>
      <c r="B63" s="322"/>
      <c r="C63" s="322"/>
      <c r="D63" s="322"/>
      <c r="E63" s="322"/>
      <c r="F63" s="322"/>
      <c r="G63" s="322"/>
      <c r="H63" s="322"/>
      <c r="I63" s="322"/>
      <c r="J63" s="322"/>
      <c r="K63" s="322"/>
      <c r="L63" s="322"/>
      <c r="M63" s="431"/>
      <c r="N63" s="431"/>
      <c r="O63" s="431"/>
      <c r="P63" s="431"/>
      <c r="Q63" s="431"/>
      <c r="R63" s="431"/>
      <c r="S63" s="431"/>
      <c r="T63" s="431"/>
      <c r="U63" s="431"/>
      <c r="V63" s="431"/>
      <c r="W63" s="431"/>
      <c r="X63" s="431"/>
      <c r="Y63" s="431"/>
      <c r="Z63" s="431"/>
      <c r="AA63" s="431"/>
      <c r="AB63" s="431"/>
      <c r="AC63" s="431"/>
      <c r="AD63" s="431"/>
      <c r="AE63" s="431"/>
      <c r="AF63" s="431"/>
      <c r="AG63" s="431"/>
      <c r="AH63" s="431"/>
      <c r="AI63" s="431"/>
      <c r="AJ63" s="431"/>
      <c r="AK63" s="123"/>
      <c r="AN63" s="41"/>
      <c r="AO63" s="1"/>
      <c r="AP63" s="43"/>
      <c r="AQ63" s="273">
        <f ca="1">(SUM(AE91:AJ106,AE108:AJ115)+AE140+AE180)*(1+W208)*(1+W209)</f>
        <v>1298.4649999999997</v>
      </c>
      <c r="AR63" s="1"/>
      <c r="AS63" s="1"/>
      <c r="AT63" s="1"/>
      <c r="AU63" s="1"/>
      <c r="AV63" s="1"/>
      <c r="AW63" s="1"/>
      <c r="AX63" s="15"/>
      <c r="AZ63" s="1"/>
      <c r="BA63" s="15"/>
    </row>
    <row r="64" spans="1:53" ht="8.25" customHeight="1" thickBot="1" x14ac:dyDescent="0.3">
      <c r="N64" s="2"/>
      <c r="O64" s="68"/>
      <c r="P64" s="68"/>
      <c r="Q64" s="68"/>
      <c r="R64" s="68"/>
      <c r="AN64" s="41"/>
      <c r="AO64" s="1"/>
      <c r="AP64" s="43"/>
      <c r="AQ64" s="1"/>
      <c r="AR64" s="1"/>
      <c r="AS64" s="1"/>
      <c r="AT64" s="1"/>
      <c r="AU64" s="1"/>
      <c r="AV64" s="1"/>
      <c r="AW64" s="1"/>
      <c r="AX64" s="15"/>
      <c r="AZ64" s="1"/>
      <c r="BA64" s="15"/>
    </row>
    <row r="65" spans="1:53" ht="18" customHeight="1" x14ac:dyDescent="0.25">
      <c r="A65" s="427" t="s">
        <v>342</v>
      </c>
      <c r="B65" s="428"/>
      <c r="C65" s="428"/>
      <c r="D65" s="428"/>
      <c r="E65" s="428"/>
      <c r="F65" s="428"/>
      <c r="G65" s="428"/>
      <c r="H65" s="428"/>
      <c r="I65" s="429"/>
      <c r="J65" s="427" t="s">
        <v>339</v>
      </c>
      <c r="K65" s="428"/>
      <c r="L65" s="428"/>
      <c r="M65" s="428"/>
      <c r="N65" s="428"/>
      <c r="O65" s="428"/>
      <c r="P65" s="428"/>
      <c r="Q65" s="428"/>
      <c r="R65" s="429"/>
      <c r="S65" s="427" t="s">
        <v>340</v>
      </c>
      <c r="T65" s="428"/>
      <c r="U65" s="428"/>
      <c r="V65" s="428"/>
      <c r="W65" s="428"/>
      <c r="X65" s="428"/>
      <c r="Y65" s="428"/>
      <c r="Z65" s="428"/>
      <c r="AA65" s="429"/>
      <c r="AB65" s="427" t="s">
        <v>341</v>
      </c>
      <c r="AC65" s="428"/>
      <c r="AD65" s="428"/>
      <c r="AE65" s="428"/>
      <c r="AF65" s="428"/>
      <c r="AG65" s="428"/>
      <c r="AH65" s="428"/>
      <c r="AI65" s="428"/>
      <c r="AJ65" s="429"/>
      <c r="AN65" s="41"/>
      <c r="AO65" s="1"/>
      <c r="AP65" s="43"/>
      <c r="AQ65" s="1"/>
      <c r="AR65" s="1"/>
      <c r="AS65" s="1"/>
      <c r="AT65" s="1"/>
      <c r="AU65" s="1"/>
      <c r="AV65" s="1"/>
      <c r="AW65" s="1"/>
      <c r="AX65" s="15"/>
      <c r="AZ65" s="1"/>
      <c r="BA65" s="15"/>
    </row>
    <row r="66" spans="1:53" ht="15" customHeight="1" x14ac:dyDescent="0.25">
      <c r="A66" s="405"/>
      <c r="B66" s="406"/>
      <c r="C66" s="406"/>
      <c r="D66" s="406"/>
      <c r="E66" s="406"/>
      <c r="F66" s="406"/>
      <c r="G66" s="407"/>
      <c r="H66" s="320"/>
      <c r="I66" s="321"/>
      <c r="J66" s="329"/>
      <c r="K66" s="320"/>
      <c r="L66" s="320"/>
      <c r="M66" s="320"/>
      <c r="N66" s="320"/>
      <c r="O66" s="320"/>
      <c r="P66" s="320"/>
      <c r="Q66" s="320"/>
      <c r="R66" s="321"/>
      <c r="S66" s="329"/>
      <c r="T66" s="320"/>
      <c r="U66" s="320"/>
      <c r="V66" s="320"/>
      <c r="W66" s="320"/>
      <c r="X66" s="320"/>
      <c r="Y66" s="320"/>
      <c r="Z66" s="320"/>
      <c r="AA66" s="321"/>
      <c r="AB66" s="329"/>
      <c r="AC66" s="320"/>
      <c r="AD66" s="320"/>
      <c r="AE66" s="320"/>
      <c r="AF66" s="320"/>
      <c r="AG66" s="320"/>
      <c r="AH66" s="320"/>
      <c r="AI66" s="320"/>
      <c r="AJ66" s="321"/>
      <c r="AN66" s="41"/>
      <c r="AO66" s="1"/>
      <c r="AP66" s="43"/>
      <c r="AQ66" s="1"/>
      <c r="AR66" s="1"/>
      <c r="AS66" s="1"/>
      <c r="AT66" s="1"/>
      <c r="AU66" s="1"/>
      <c r="AV66" s="1"/>
      <c r="AW66" s="1"/>
      <c r="AX66" s="15"/>
      <c r="AZ66" s="1"/>
      <c r="BA66" s="15"/>
    </row>
    <row r="67" spans="1:53" ht="15" customHeight="1" x14ac:dyDescent="0.25">
      <c r="A67" s="333"/>
      <c r="B67" s="334"/>
      <c r="C67" s="334"/>
      <c r="D67" s="334"/>
      <c r="E67" s="334"/>
      <c r="F67" s="334"/>
      <c r="G67" s="334"/>
      <c r="H67" s="320"/>
      <c r="I67" s="321"/>
      <c r="J67" s="329"/>
      <c r="K67" s="320"/>
      <c r="L67" s="320"/>
      <c r="M67" s="320"/>
      <c r="N67" s="320"/>
      <c r="O67" s="320"/>
      <c r="P67" s="320"/>
      <c r="Q67" s="320"/>
      <c r="R67" s="321"/>
      <c r="S67" s="329"/>
      <c r="T67" s="320"/>
      <c r="U67" s="320"/>
      <c r="V67" s="320"/>
      <c r="W67" s="320"/>
      <c r="X67" s="320"/>
      <c r="Y67" s="320"/>
      <c r="Z67" s="320"/>
      <c r="AA67" s="321"/>
      <c r="AB67" s="329"/>
      <c r="AC67" s="320"/>
      <c r="AD67" s="320"/>
      <c r="AE67" s="320"/>
      <c r="AF67" s="320"/>
      <c r="AG67" s="320"/>
      <c r="AH67" s="320"/>
      <c r="AI67" s="320"/>
      <c r="AJ67" s="321"/>
      <c r="AN67" s="41"/>
      <c r="AO67" s="1"/>
      <c r="AP67" s="43"/>
      <c r="AQ67" s="1"/>
      <c r="AR67" s="1"/>
      <c r="AS67" s="1"/>
      <c r="AT67" s="1"/>
      <c r="AU67" s="1"/>
      <c r="AV67" s="1"/>
      <c r="AW67" s="1"/>
      <c r="AX67" s="15"/>
      <c r="AZ67" s="1"/>
      <c r="BA67" s="15"/>
    </row>
    <row r="68" spans="1:53" ht="15" customHeight="1" x14ac:dyDescent="0.25">
      <c r="A68" s="333"/>
      <c r="B68" s="334"/>
      <c r="C68" s="334"/>
      <c r="D68" s="334"/>
      <c r="E68" s="334"/>
      <c r="F68" s="334"/>
      <c r="G68" s="334"/>
      <c r="H68" s="320"/>
      <c r="I68" s="321"/>
      <c r="J68" s="329"/>
      <c r="K68" s="320"/>
      <c r="L68" s="320"/>
      <c r="M68" s="320"/>
      <c r="N68" s="320"/>
      <c r="O68" s="320"/>
      <c r="P68" s="320"/>
      <c r="Q68" s="320"/>
      <c r="R68" s="321"/>
      <c r="S68" s="329"/>
      <c r="T68" s="320"/>
      <c r="U68" s="320"/>
      <c r="V68" s="320"/>
      <c r="W68" s="320"/>
      <c r="X68" s="320"/>
      <c r="Y68" s="320"/>
      <c r="Z68" s="320"/>
      <c r="AA68" s="321"/>
      <c r="AB68" s="329"/>
      <c r="AC68" s="320"/>
      <c r="AD68" s="320"/>
      <c r="AE68" s="320"/>
      <c r="AF68" s="320"/>
      <c r="AG68" s="320"/>
      <c r="AH68" s="320"/>
      <c r="AI68" s="320"/>
      <c r="AJ68" s="321"/>
      <c r="AN68" s="41"/>
      <c r="AO68" s="1"/>
      <c r="AP68" s="43"/>
      <c r="AQ68" s="1"/>
      <c r="AR68" s="1"/>
      <c r="AS68" s="1"/>
      <c r="AT68" s="1"/>
      <c r="AU68" s="1"/>
      <c r="AV68" s="1"/>
      <c r="AW68" s="1"/>
      <c r="AX68" s="15"/>
      <c r="AZ68" s="1"/>
      <c r="BA68" s="15"/>
    </row>
    <row r="69" spans="1:53" ht="15" customHeight="1" x14ac:dyDescent="0.25">
      <c r="A69" s="333"/>
      <c r="B69" s="334"/>
      <c r="C69" s="334"/>
      <c r="D69" s="334"/>
      <c r="E69" s="334"/>
      <c r="F69" s="334"/>
      <c r="G69" s="334"/>
      <c r="H69" s="320"/>
      <c r="I69" s="321"/>
      <c r="J69" s="329"/>
      <c r="K69" s="320"/>
      <c r="L69" s="320"/>
      <c r="M69" s="320"/>
      <c r="N69" s="320"/>
      <c r="O69" s="320"/>
      <c r="P69" s="320"/>
      <c r="Q69" s="320"/>
      <c r="R69" s="321"/>
      <c r="S69" s="329"/>
      <c r="T69" s="320"/>
      <c r="U69" s="320"/>
      <c r="V69" s="320"/>
      <c r="W69" s="320"/>
      <c r="X69" s="320"/>
      <c r="Y69" s="320"/>
      <c r="Z69" s="320"/>
      <c r="AA69" s="321"/>
      <c r="AB69" s="329"/>
      <c r="AC69" s="320"/>
      <c r="AD69" s="320"/>
      <c r="AE69" s="320"/>
      <c r="AF69" s="320"/>
      <c r="AG69" s="320"/>
      <c r="AH69" s="320"/>
      <c r="AI69" s="320"/>
      <c r="AJ69" s="321"/>
      <c r="AN69" s="41"/>
      <c r="AO69" s="1"/>
      <c r="AP69" s="43"/>
      <c r="AQ69" s="1"/>
      <c r="AR69" s="1"/>
      <c r="AS69" s="1"/>
      <c r="AT69" s="1"/>
      <c r="AU69" s="1"/>
      <c r="AV69" s="1"/>
      <c r="AW69" s="1"/>
      <c r="AX69" s="15"/>
      <c r="AZ69" s="1"/>
      <c r="BA69" s="15"/>
    </row>
    <row r="70" spans="1:53" ht="15" customHeight="1" x14ac:dyDescent="0.25">
      <c r="A70" s="333"/>
      <c r="B70" s="334"/>
      <c r="C70" s="334"/>
      <c r="D70" s="334"/>
      <c r="E70" s="334"/>
      <c r="F70" s="334"/>
      <c r="G70" s="334"/>
      <c r="H70" s="320"/>
      <c r="I70" s="321"/>
      <c r="J70" s="329"/>
      <c r="K70" s="320"/>
      <c r="L70" s="320"/>
      <c r="M70" s="320"/>
      <c r="N70" s="320"/>
      <c r="O70" s="320"/>
      <c r="P70" s="320"/>
      <c r="Q70" s="320"/>
      <c r="R70" s="321"/>
      <c r="S70" s="329"/>
      <c r="T70" s="320"/>
      <c r="U70" s="320"/>
      <c r="V70" s="320"/>
      <c r="W70" s="320"/>
      <c r="X70" s="320"/>
      <c r="Y70" s="320"/>
      <c r="Z70" s="320"/>
      <c r="AA70" s="321"/>
      <c r="AB70" s="329"/>
      <c r="AC70" s="320"/>
      <c r="AD70" s="320"/>
      <c r="AE70" s="320"/>
      <c r="AF70" s="320"/>
      <c r="AG70" s="320"/>
      <c r="AH70" s="320"/>
      <c r="AI70" s="320"/>
      <c r="AJ70" s="321"/>
      <c r="AN70" s="41"/>
      <c r="AO70" s="1"/>
      <c r="AP70" s="43"/>
      <c r="AQ70" s="1"/>
      <c r="AR70" s="1"/>
      <c r="AS70" s="1"/>
      <c r="AT70" s="1"/>
      <c r="AU70" s="1"/>
      <c r="AV70" s="1"/>
      <c r="AW70" s="1"/>
      <c r="AX70" s="15"/>
      <c r="AZ70" s="1"/>
      <c r="BA70" s="15"/>
    </row>
    <row r="71" spans="1:53" ht="15" customHeight="1" x14ac:dyDescent="0.25">
      <c r="A71" s="333"/>
      <c r="B71" s="334"/>
      <c r="C71" s="334"/>
      <c r="D71" s="334"/>
      <c r="E71" s="334"/>
      <c r="F71" s="334"/>
      <c r="G71" s="334"/>
      <c r="H71" s="320"/>
      <c r="I71" s="321"/>
      <c r="J71" s="329"/>
      <c r="K71" s="320"/>
      <c r="L71" s="320"/>
      <c r="M71" s="320"/>
      <c r="N71" s="320"/>
      <c r="O71" s="320"/>
      <c r="P71" s="320"/>
      <c r="Q71" s="320"/>
      <c r="R71" s="321"/>
      <c r="S71" s="329"/>
      <c r="T71" s="320"/>
      <c r="U71" s="320"/>
      <c r="V71" s="320"/>
      <c r="W71" s="320"/>
      <c r="X71" s="320"/>
      <c r="Y71" s="320"/>
      <c r="Z71" s="320"/>
      <c r="AA71" s="321"/>
      <c r="AB71" s="329"/>
      <c r="AC71" s="320"/>
      <c r="AD71" s="320"/>
      <c r="AE71" s="320"/>
      <c r="AF71" s="320"/>
      <c r="AG71" s="320"/>
      <c r="AH71" s="320"/>
      <c r="AI71" s="320"/>
      <c r="AJ71" s="321"/>
      <c r="AN71" s="41"/>
      <c r="AO71" s="1"/>
      <c r="AP71" s="43"/>
      <c r="AQ71" s="1"/>
      <c r="AR71" s="1"/>
      <c r="AS71" s="1"/>
      <c r="AT71" s="1"/>
      <c r="AU71" s="1"/>
      <c r="AV71" s="1"/>
      <c r="AW71" s="1"/>
      <c r="AX71" s="15"/>
      <c r="AZ71" s="1"/>
      <c r="BA71" s="15"/>
    </row>
    <row r="72" spans="1:53" ht="15" customHeight="1" x14ac:dyDescent="0.25">
      <c r="A72" s="333"/>
      <c r="B72" s="334"/>
      <c r="C72" s="334"/>
      <c r="D72" s="334"/>
      <c r="E72" s="334"/>
      <c r="F72" s="334"/>
      <c r="G72" s="334"/>
      <c r="H72" s="320"/>
      <c r="I72" s="321"/>
      <c r="J72" s="329"/>
      <c r="K72" s="320"/>
      <c r="L72" s="320"/>
      <c r="M72" s="320"/>
      <c r="N72" s="320"/>
      <c r="O72" s="320"/>
      <c r="P72" s="320"/>
      <c r="Q72" s="320"/>
      <c r="R72" s="321"/>
      <c r="S72" s="329"/>
      <c r="T72" s="320"/>
      <c r="U72" s="320"/>
      <c r="V72" s="320"/>
      <c r="W72" s="320"/>
      <c r="X72" s="320"/>
      <c r="Y72" s="320"/>
      <c r="Z72" s="320"/>
      <c r="AA72" s="321"/>
      <c r="AB72" s="329"/>
      <c r="AC72" s="320"/>
      <c r="AD72" s="320"/>
      <c r="AE72" s="320"/>
      <c r="AF72" s="320"/>
      <c r="AG72" s="320"/>
      <c r="AH72" s="320"/>
      <c r="AI72" s="320"/>
      <c r="AJ72" s="321"/>
      <c r="AN72" s="41"/>
      <c r="AO72" s="1"/>
      <c r="AP72" s="43"/>
      <c r="AQ72" s="1"/>
      <c r="AR72" s="1"/>
      <c r="AS72" s="1"/>
      <c r="AT72" s="1"/>
      <c r="AU72" s="1"/>
      <c r="AV72" s="1"/>
      <c r="AW72" s="1"/>
      <c r="AX72" s="15"/>
      <c r="AZ72" s="1"/>
      <c r="BA72" s="15"/>
    </row>
    <row r="73" spans="1:53" ht="15" customHeight="1" x14ac:dyDescent="0.25">
      <c r="A73" s="333"/>
      <c r="B73" s="334"/>
      <c r="C73" s="334"/>
      <c r="D73" s="334"/>
      <c r="E73" s="334"/>
      <c r="F73" s="334"/>
      <c r="G73" s="334"/>
      <c r="H73" s="320"/>
      <c r="I73" s="321"/>
      <c r="J73" s="329"/>
      <c r="K73" s="320"/>
      <c r="L73" s="320"/>
      <c r="M73" s="320"/>
      <c r="N73" s="320"/>
      <c r="O73" s="320"/>
      <c r="P73" s="320"/>
      <c r="Q73" s="320"/>
      <c r="R73" s="321"/>
      <c r="S73" s="329"/>
      <c r="T73" s="320"/>
      <c r="U73" s="320"/>
      <c r="V73" s="320"/>
      <c r="W73" s="320"/>
      <c r="X73" s="320"/>
      <c r="Y73" s="320"/>
      <c r="Z73" s="320"/>
      <c r="AA73" s="321"/>
      <c r="AB73" s="329"/>
      <c r="AC73" s="320"/>
      <c r="AD73" s="320"/>
      <c r="AE73" s="320"/>
      <c r="AF73" s="320"/>
      <c r="AG73" s="320"/>
      <c r="AH73" s="320"/>
      <c r="AI73" s="320"/>
      <c r="AJ73" s="321"/>
      <c r="AN73" s="41"/>
      <c r="AO73" s="1"/>
      <c r="AP73" s="43"/>
      <c r="AQ73" s="1"/>
      <c r="AR73" s="1"/>
      <c r="AS73" s="1"/>
      <c r="AT73" s="1"/>
      <c r="AU73" s="1"/>
      <c r="AV73" s="1"/>
      <c r="AW73" s="1"/>
      <c r="AX73" s="15"/>
      <c r="AZ73" s="1"/>
      <c r="BA73" s="15"/>
    </row>
    <row r="74" spans="1:53" ht="15" customHeight="1" x14ac:dyDescent="0.25">
      <c r="A74" s="326" t="s">
        <v>212</v>
      </c>
      <c r="B74" s="327"/>
      <c r="C74" s="327"/>
      <c r="D74" s="327"/>
      <c r="E74" s="327"/>
      <c r="F74" s="327"/>
      <c r="G74" s="327"/>
      <c r="H74" s="327"/>
      <c r="I74" s="328"/>
      <c r="J74" s="326" t="s">
        <v>212</v>
      </c>
      <c r="K74" s="327"/>
      <c r="L74" s="327"/>
      <c r="M74" s="327"/>
      <c r="N74" s="327"/>
      <c r="O74" s="327"/>
      <c r="P74" s="327"/>
      <c r="Q74" s="327"/>
      <c r="R74" s="328"/>
      <c r="S74" s="326" t="s">
        <v>212</v>
      </c>
      <c r="T74" s="327"/>
      <c r="U74" s="327"/>
      <c r="V74" s="327"/>
      <c r="W74" s="327"/>
      <c r="X74" s="327"/>
      <c r="Y74" s="327"/>
      <c r="Z74" s="327"/>
      <c r="AA74" s="328"/>
      <c r="AB74" s="326" t="s">
        <v>212</v>
      </c>
      <c r="AC74" s="327"/>
      <c r="AD74" s="327"/>
      <c r="AE74" s="327"/>
      <c r="AF74" s="327"/>
      <c r="AG74" s="327"/>
      <c r="AH74" s="327"/>
      <c r="AI74" s="327"/>
      <c r="AJ74" s="328"/>
      <c r="AN74" s="41"/>
      <c r="AO74" s="1"/>
      <c r="AP74" s="43"/>
      <c r="AQ74" s="1"/>
      <c r="AR74" s="1"/>
      <c r="AS74" s="1"/>
      <c r="AT74" s="1"/>
      <c r="AU74" s="1"/>
      <c r="AV74" s="1"/>
      <c r="AW74" s="1"/>
      <c r="AX74" s="15"/>
      <c r="AZ74" s="1"/>
      <c r="BA74" s="15"/>
    </row>
    <row r="75" spans="1:53" ht="15" customHeight="1" x14ac:dyDescent="0.25">
      <c r="A75" s="333"/>
      <c r="B75" s="334"/>
      <c r="C75" s="334"/>
      <c r="D75" s="334"/>
      <c r="E75" s="334"/>
      <c r="F75" s="334"/>
      <c r="G75" s="334"/>
      <c r="H75" s="320"/>
      <c r="I75" s="321"/>
      <c r="J75" s="329"/>
      <c r="K75" s="320"/>
      <c r="L75" s="320"/>
      <c r="M75" s="320"/>
      <c r="N75" s="320"/>
      <c r="O75" s="320"/>
      <c r="P75" s="320"/>
      <c r="Q75" s="320"/>
      <c r="R75" s="321"/>
      <c r="S75" s="329"/>
      <c r="T75" s="320"/>
      <c r="U75" s="320"/>
      <c r="V75" s="320"/>
      <c r="W75" s="320"/>
      <c r="X75" s="320"/>
      <c r="Y75" s="320"/>
      <c r="Z75" s="320"/>
      <c r="AA75" s="321"/>
      <c r="AB75" s="329"/>
      <c r="AC75" s="320"/>
      <c r="AD75" s="320"/>
      <c r="AE75" s="320"/>
      <c r="AF75" s="320"/>
      <c r="AG75" s="320"/>
      <c r="AH75" s="320"/>
      <c r="AI75" s="320"/>
      <c r="AJ75" s="321"/>
      <c r="AN75" s="41"/>
      <c r="AO75" s="1"/>
      <c r="AP75" s="43"/>
      <c r="AQ75" s="1"/>
      <c r="AR75" s="1"/>
      <c r="AS75" s="1"/>
      <c r="AT75" s="1"/>
      <c r="AU75" s="1"/>
      <c r="AV75" s="1"/>
      <c r="AW75" s="1"/>
      <c r="AX75" s="15"/>
      <c r="AZ75" s="1"/>
      <c r="BA75" s="15"/>
    </row>
    <row r="76" spans="1:53" ht="15" customHeight="1" x14ac:dyDescent="0.25">
      <c r="A76" s="333"/>
      <c r="B76" s="334"/>
      <c r="C76" s="334"/>
      <c r="D76" s="334"/>
      <c r="E76" s="334"/>
      <c r="F76" s="334"/>
      <c r="G76" s="334"/>
      <c r="H76" s="320"/>
      <c r="I76" s="321"/>
      <c r="J76" s="333"/>
      <c r="K76" s="334"/>
      <c r="L76" s="334"/>
      <c r="M76" s="334"/>
      <c r="N76" s="334"/>
      <c r="O76" s="334"/>
      <c r="P76" s="334"/>
      <c r="Q76" s="320"/>
      <c r="R76" s="321"/>
      <c r="S76" s="333"/>
      <c r="T76" s="334"/>
      <c r="U76" s="334"/>
      <c r="V76" s="334"/>
      <c r="W76" s="334"/>
      <c r="X76" s="334"/>
      <c r="Y76" s="334"/>
      <c r="Z76" s="320"/>
      <c r="AA76" s="321"/>
      <c r="AB76" s="333"/>
      <c r="AC76" s="334"/>
      <c r="AD76" s="334"/>
      <c r="AE76" s="334"/>
      <c r="AF76" s="334"/>
      <c r="AG76" s="334"/>
      <c r="AH76" s="334"/>
      <c r="AI76" s="320"/>
      <c r="AJ76" s="321"/>
      <c r="AN76" s="41"/>
      <c r="AO76" s="1"/>
      <c r="AP76" s="43"/>
      <c r="AQ76" s="1"/>
      <c r="AR76" s="1"/>
      <c r="AS76" s="1"/>
      <c r="AT76" s="1"/>
      <c r="AU76" s="1"/>
      <c r="AV76" s="1"/>
      <c r="AW76" s="1"/>
      <c r="AX76" s="15"/>
      <c r="AZ76" s="1"/>
      <c r="BA76" s="15"/>
    </row>
    <row r="77" spans="1:53" ht="15" customHeight="1" x14ac:dyDescent="0.25">
      <c r="A77" s="333"/>
      <c r="B77" s="334"/>
      <c r="C77" s="334"/>
      <c r="D77" s="334"/>
      <c r="E77" s="334"/>
      <c r="F77" s="334"/>
      <c r="G77" s="334"/>
      <c r="H77" s="320"/>
      <c r="I77" s="321"/>
      <c r="J77" s="333"/>
      <c r="K77" s="334"/>
      <c r="L77" s="334"/>
      <c r="M77" s="334"/>
      <c r="N77" s="334"/>
      <c r="O77" s="334"/>
      <c r="P77" s="334"/>
      <c r="Q77" s="320"/>
      <c r="R77" s="321"/>
      <c r="S77" s="333"/>
      <c r="T77" s="334"/>
      <c r="U77" s="334"/>
      <c r="V77" s="334"/>
      <c r="W77" s="334"/>
      <c r="X77" s="334"/>
      <c r="Y77" s="334"/>
      <c r="Z77" s="320"/>
      <c r="AA77" s="321"/>
      <c r="AB77" s="333"/>
      <c r="AC77" s="334"/>
      <c r="AD77" s="334"/>
      <c r="AE77" s="334"/>
      <c r="AF77" s="334"/>
      <c r="AG77" s="334"/>
      <c r="AH77" s="334"/>
      <c r="AI77" s="320"/>
      <c r="AJ77" s="321"/>
      <c r="AN77" s="41"/>
      <c r="AO77" s="1"/>
      <c r="AP77" s="43"/>
      <c r="AQ77" s="1"/>
      <c r="AR77" s="1"/>
      <c r="AS77" s="1"/>
      <c r="AT77" s="1"/>
      <c r="AU77" s="1"/>
      <c r="AV77" s="1"/>
      <c r="AW77" s="1"/>
      <c r="AX77" s="15"/>
      <c r="AZ77" s="1"/>
      <c r="BA77" s="15"/>
    </row>
    <row r="78" spans="1:53" ht="15" customHeight="1" x14ac:dyDescent="0.25">
      <c r="A78" s="333"/>
      <c r="B78" s="334"/>
      <c r="C78" s="334"/>
      <c r="D78" s="334"/>
      <c r="E78" s="334"/>
      <c r="F78" s="334"/>
      <c r="G78" s="334"/>
      <c r="H78" s="320"/>
      <c r="I78" s="321"/>
      <c r="J78" s="333"/>
      <c r="K78" s="334"/>
      <c r="L78" s="334"/>
      <c r="M78" s="334"/>
      <c r="N78" s="334"/>
      <c r="O78" s="334"/>
      <c r="P78" s="334"/>
      <c r="Q78" s="320"/>
      <c r="R78" s="321"/>
      <c r="S78" s="333"/>
      <c r="T78" s="334"/>
      <c r="U78" s="334"/>
      <c r="V78" s="334"/>
      <c r="W78" s="334"/>
      <c r="X78" s="334"/>
      <c r="Y78" s="334"/>
      <c r="Z78" s="320"/>
      <c r="AA78" s="321"/>
      <c r="AB78" s="333"/>
      <c r="AC78" s="334"/>
      <c r="AD78" s="334"/>
      <c r="AE78" s="334"/>
      <c r="AF78" s="334"/>
      <c r="AG78" s="334"/>
      <c r="AH78" s="334"/>
      <c r="AI78" s="320"/>
      <c r="AJ78" s="321"/>
      <c r="AN78" s="41"/>
      <c r="AO78" s="1"/>
      <c r="AP78" s="43"/>
      <c r="AQ78" s="1"/>
      <c r="AR78" s="1"/>
      <c r="AS78" s="1"/>
      <c r="AT78" s="1"/>
      <c r="AU78" s="1"/>
      <c r="AV78" s="1"/>
      <c r="AW78" s="1"/>
      <c r="AX78" s="15"/>
      <c r="AZ78" s="1"/>
      <c r="BA78" s="15"/>
    </row>
    <row r="79" spans="1:53" ht="15" customHeight="1" x14ac:dyDescent="0.25">
      <c r="A79" s="333"/>
      <c r="B79" s="334"/>
      <c r="C79" s="334"/>
      <c r="D79" s="334"/>
      <c r="E79" s="334"/>
      <c r="F79" s="334"/>
      <c r="G79" s="334"/>
      <c r="H79" s="320"/>
      <c r="I79" s="321"/>
      <c r="J79" s="333"/>
      <c r="K79" s="334"/>
      <c r="L79" s="334"/>
      <c r="M79" s="334"/>
      <c r="N79" s="334"/>
      <c r="O79" s="334"/>
      <c r="P79" s="334"/>
      <c r="Q79" s="320"/>
      <c r="R79" s="321"/>
      <c r="S79" s="333"/>
      <c r="T79" s="334"/>
      <c r="U79" s="334"/>
      <c r="V79" s="334"/>
      <c r="W79" s="334"/>
      <c r="X79" s="334"/>
      <c r="Y79" s="334"/>
      <c r="Z79" s="320"/>
      <c r="AA79" s="321"/>
      <c r="AB79" s="333"/>
      <c r="AC79" s="334"/>
      <c r="AD79" s="334"/>
      <c r="AE79" s="334"/>
      <c r="AF79" s="334"/>
      <c r="AG79" s="334"/>
      <c r="AH79" s="334"/>
      <c r="AI79" s="320"/>
      <c r="AJ79" s="321"/>
      <c r="AN79" s="41"/>
      <c r="AO79" s="1"/>
      <c r="AP79" s="43"/>
      <c r="AQ79" s="1"/>
      <c r="AR79" s="1"/>
      <c r="AS79" s="1"/>
      <c r="AT79" s="1"/>
      <c r="AU79" s="1"/>
      <c r="AV79" s="1"/>
      <c r="AW79" s="1"/>
      <c r="AX79" s="15"/>
      <c r="AZ79" s="1"/>
      <c r="BA79" s="15"/>
    </row>
    <row r="80" spans="1:53" ht="15" customHeight="1" x14ac:dyDescent="0.25">
      <c r="A80" s="333"/>
      <c r="B80" s="334"/>
      <c r="C80" s="334"/>
      <c r="D80" s="334"/>
      <c r="E80" s="334"/>
      <c r="F80" s="334"/>
      <c r="G80" s="334"/>
      <c r="H80" s="320"/>
      <c r="I80" s="321"/>
      <c r="J80" s="333"/>
      <c r="K80" s="334"/>
      <c r="L80" s="334"/>
      <c r="M80" s="334"/>
      <c r="N80" s="334"/>
      <c r="O80" s="334"/>
      <c r="P80" s="334"/>
      <c r="Q80" s="320"/>
      <c r="R80" s="321"/>
      <c r="S80" s="333"/>
      <c r="T80" s="334"/>
      <c r="U80" s="334"/>
      <c r="V80" s="334"/>
      <c r="W80" s="334"/>
      <c r="X80" s="334"/>
      <c r="Y80" s="334"/>
      <c r="Z80" s="320"/>
      <c r="AA80" s="321"/>
      <c r="AB80" s="333"/>
      <c r="AC80" s="334"/>
      <c r="AD80" s="334"/>
      <c r="AE80" s="334"/>
      <c r="AF80" s="334"/>
      <c r="AG80" s="334"/>
      <c r="AH80" s="334"/>
      <c r="AI80" s="320"/>
      <c r="AJ80" s="321"/>
      <c r="AN80" s="41"/>
      <c r="AO80" s="1"/>
      <c r="AP80" s="43"/>
      <c r="AQ80" s="1"/>
      <c r="AR80" s="1"/>
      <c r="AS80" s="1"/>
      <c r="AT80" s="1"/>
      <c r="AU80" s="1"/>
      <c r="AV80" s="1"/>
      <c r="AW80" s="1"/>
      <c r="AX80" s="15"/>
      <c r="AZ80" s="1"/>
      <c r="BA80" s="15"/>
    </row>
    <row r="81" spans="1:53" ht="15" customHeight="1" thickBot="1" x14ac:dyDescent="0.3">
      <c r="A81" s="335"/>
      <c r="B81" s="336"/>
      <c r="C81" s="336"/>
      <c r="D81" s="336"/>
      <c r="E81" s="336"/>
      <c r="F81" s="336"/>
      <c r="G81" s="336"/>
      <c r="H81" s="322"/>
      <c r="I81" s="323"/>
      <c r="J81" s="335"/>
      <c r="K81" s="336"/>
      <c r="L81" s="336"/>
      <c r="M81" s="336"/>
      <c r="N81" s="336"/>
      <c r="O81" s="336"/>
      <c r="P81" s="336"/>
      <c r="Q81" s="322"/>
      <c r="R81" s="323"/>
      <c r="S81" s="335"/>
      <c r="T81" s="336"/>
      <c r="U81" s="336"/>
      <c r="V81" s="336"/>
      <c r="W81" s="336"/>
      <c r="X81" s="336"/>
      <c r="Y81" s="336"/>
      <c r="Z81" s="322"/>
      <c r="AA81" s="323"/>
      <c r="AB81" s="335"/>
      <c r="AC81" s="336"/>
      <c r="AD81" s="336"/>
      <c r="AE81" s="336"/>
      <c r="AF81" s="336"/>
      <c r="AG81" s="336"/>
      <c r="AH81" s="336"/>
      <c r="AI81" s="322"/>
      <c r="AJ81" s="323"/>
      <c r="AN81" s="41"/>
      <c r="AO81" s="1"/>
      <c r="AP81" s="43"/>
      <c r="AQ81" s="1"/>
      <c r="AR81" s="1"/>
      <c r="AS81" s="1"/>
      <c r="AT81" s="1"/>
      <c r="AU81" s="1"/>
      <c r="AV81" s="1"/>
      <c r="AW81" s="1"/>
      <c r="AX81" s="15"/>
      <c r="AZ81" s="1"/>
      <c r="BA81" s="15"/>
    </row>
    <row r="82" spans="1:53" x14ac:dyDescent="0.25">
      <c r="A82" s="73" t="s">
        <v>388</v>
      </c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5"/>
      <c r="P82" s="75"/>
      <c r="Q82" s="75"/>
      <c r="R82" s="75"/>
      <c r="S82" s="74"/>
      <c r="T82" s="74"/>
      <c r="U82" s="74"/>
      <c r="V82" s="74"/>
      <c r="W82" s="74"/>
      <c r="X82" s="74"/>
      <c r="Y82" s="74"/>
      <c r="Z82" s="571" t="s">
        <v>109</v>
      </c>
      <c r="AA82" s="571"/>
      <c r="AB82" s="571"/>
      <c r="AC82" s="571"/>
      <c r="AD82" s="571"/>
      <c r="AE82" s="571"/>
      <c r="AF82" s="571"/>
      <c r="AG82" s="571"/>
      <c r="AH82" s="571"/>
      <c r="AI82" s="571"/>
      <c r="AJ82" s="571"/>
      <c r="AK82" s="572"/>
      <c r="AR82" s="1"/>
      <c r="AS82" s="1"/>
      <c r="AT82" s="1"/>
      <c r="AU82" s="1"/>
      <c r="AV82" s="1"/>
      <c r="AW82" s="1"/>
      <c r="AX82" s="15"/>
      <c r="AZ82" s="1"/>
      <c r="BA82" s="15"/>
    </row>
    <row r="83" spans="1:53" ht="5.25" customHeight="1" x14ac:dyDescent="0.25">
      <c r="AR83" s="1"/>
      <c r="AS83" s="1"/>
      <c r="AT83" s="1"/>
      <c r="AU83" s="1"/>
      <c r="AV83" s="1"/>
      <c r="AW83" s="1"/>
      <c r="AX83" s="15"/>
    </row>
    <row r="84" spans="1:53" ht="15.75" customHeight="1" x14ac:dyDescent="0.25">
      <c r="M84" s="315" t="s">
        <v>113</v>
      </c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  <c r="Z84" s="315"/>
      <c r="AA84" s="315"/>
      <c r="AB84" s="315"/>
      <c r="AC84" s="315"/>
      <c r="AD84" s="315"/>
      <c r="AE84" s="315"/>
      <c r="AF84" s="315"/>
      <c r="AG84" s="315"/>
      <c r="AH84" s="315"/>
      <c r="AI84" s="315"/>
      <c r="AJ84" s="315"/>
      <c r="AW84" s="1"/>
      <c r="AX84" s="15"/>
    </row>
    <row r="85" spans="1:53" ht="15.75" customHeight="1" thickBot="1" x14ac:dyDescent="0.3">
      <c r="B85" s="667"/>
      <c r="C85" s="668"/>
      <c r="D85" s="671" t="s">
        <v>678</v>
      </c>
      <c r="E85" s="672"/>
      <c r="F85" s="672"/>
      <c r="G85" s="672"/>
      <c r="H85" s="672"/>
      <c r="I85" s="672"/>
      <c r="J85" s="672"/>
      <c r="K85" s="673"/>
      <c r="M85" s="353" t="s">
        <v>320</v>
      </c>
      <c r="N85" s="356">
        <f>F138</f>
        <v>0</v>
      </c>
      <c r="O85" s="356"/>
      <c r="P85" s="356"/>
      <c r="Q85" s="356"/>
      <c r="R85" s="356"/>
      <c r="S85" s="353" t="s">
        <v>114</v>
      </c>
      <c r="T85" s="356">
        <f>T87*T88</f>
        <v>8</v>
      </c>
      <c r="U85" s="356"/>
      <c r="V85" s="356"/>
      <c r="W85" s="356"/>
      <c r="X85" s="356"/>
      <c r="Y85" s="573" t="s">
        <v>115</v>
      </c>
      <c r="Z85" s="356">
        <f ca="1">F137+M117</f>
        <v>1.3333333333333333</v>
      </c>
      <c r="AA85" s="356"/>
      <c r="AB85" s="356"/>
      <c r="AC85" s="356"/>
      <c r="AD85" s="356"/>
      <c r="AE85" s="606" t="s">
        <v>116</v>
      </c>
      <c r="AF85" s="356">
        <f>P137</f>
        <v>0</v>
      </c>
      <c r="AG85" s="356"/>
      <c r="AH85" s="356"/>
      <c r="AI85" s="356"/>
      <c r="AJ85" s="356"/>
    </row>
    <row r="86" spans="1:53" ht="15.75" customHeight="1" thickTop="1" thickBot="1" x14ac:dyDescent="0.3">
      <c r="B86" s="669"/>
      <c r="C86" s="670"/>
      <c r="D86" s="674"/>
      <c r="E86" s="675"/>
      <c r="F86" s="675"/>
      <c r="G86" s="675"/>
      <c r="H86" s="675"/>
      <c r="I86" s="675"/>
      <c r="J86" s="675"/>
      <c r="K86" s="676"/>
      <c r="M86" s="354"/>
      <c r="N86" s="357">
        <v>8</v>
      </c>
      <c r="O86" s="358"/>
      <c r="P86" s="358"/>
      <c r="Q86" s="358"/>
      <c r="R86" s="359"/>
      <c r="S86" s="354"/>
      <c r="T86" s="558"/>
      <c r="U86" s="559"/>
      <c r="V86" s="559"/>
      <c r="W86" s="559"/>
      <c r="X86" s="560"/>
      <c r="Y86" s="574"/>
      <c r="Z86" s="357">
        <v>6</v>
      </c>
      <c r="AA86" s="358"/>
      <c r="AB86" s="358"/>
      <c r="AC86" s="358"/>
      <c r="AD86" s="359"/>
      <c r="AE86" s="607"/>
      <c r="AF86" s="603">
        <v>2</v>
      </c>
      <c r="AG86" s="604"/>
      <c r="AH86" s="604"/>
      <c r="AI86" s="604"/>
      <c r="AJ86" s="605"/>
      <c r="AM86" s="275" t="b">
        <v>0</v>
      </c>
      <c r="AN86" s="275"/>
      <c r="AO86" t="s">
        <v>117</v>
      </c>
    </row>
    <row r="87" spans="1:53" ht="15.75" customHeight="1" thickTop="1" thickBot="1" x14ac:dyDescent="0.3">
      <c r="M87" s="354"/>
      <c r="N87" s="360">
        <v>8</v>
      </c>
      <c r="O87" s="361"/>
      <c r="P87" s="361"/>
      <c r="Q87" s="361"/>
      <c r="R87" s="362"/>
      <c r="S87" s="354"/>
      <c r="T87" s="360">
        <v>8</v>
      </c>
      <c r="U87" s="361"/>
      <c r="V87" s="361"/>
      <c r="W87" s="361"/>
      <c r="X87" s="362"/>
      <c r="Y87" s="574"/>
      <c r="Z87" s="360">
        <v>10</v>
      </c>
      <c r="AA87" s="361"/>
      <c r="AB87" s="361"/>
      <c r="AC87" s="361"/>
      <c r="AD87" s="362"/>
      <c r="AE87" s="607"/>
      <c r="AF87" s="360">
        <v>8</v>
      </c>
      <c r="AG87" s="361"/>
      <c r="AH87" s="361"/>
      <c r="AI87" s="361"/>
      <c r="AJ87" s="362"/>
      <c r="AN87" s="2">
        <f>IF(AM86=FALSE,1,0)</f>
        <v>1</v>
      </c>
    </row>
    <row r="88" spans="1:53" ht="15.75" customHeight="1" thickTop="1" x14ac:dyDescent="0.25">
      <c r="M88" s="355"/>
      <c r="N88" s="363">
        <f>N85/N86/N87</f>
        <v>0</v>
      </c>
      <c r="O88" s="363"/>
      <c r="P88" s="363"/>
      <c r="Q88" s="363"/>
      <c r="R88" s="363"/>
      <c r="S88" s="355"/>
      <c r="T88" s="363">
        <f>R111</f>
        <v>1</v>
      </c>
      <c r="U88" s="363"/>
      <c r="V88" s="363"/>
      <c r="W88" s="363"/>
      <c r="X88" s="363"/>
      <c r="Y88" s="573"/>
      <c r="Z88" s="363">
        <f ca="1">CEILING(Z85/Z86/Z87+R91+R92,1)</f>
        <v>3</v>
      </c>
      <c r="AA88" s="363"/>
      <c r="AB88" s="363"/>
      <c r="AC88" s="363"/>
      <c r="AD88" s="363"/>
      <c r="AE88" s="606"/>
      <c r="AF88" s="363">
        <f>CEILING(AF85/AF86/AF87,1)</f>
        <v>0</v>
      </c>
      <c r="AG88" s="363"/>
      <c r="AH88" s="363"/>
      <c r="AI88" s="363"/>
      <c r="AJ88" s="363"/>
    </row>
    <row r="89" spans="1:53" ht="5.25" customHeight="1" x14ac:dyDescent="0.25"/>
    <row r="90" spans="1:53" ht="15.75" customHeight="1" x14ac:dyDescent="0.25">
      <c r="B90" s="315" t="s">
        <v>8</v>
      </c>
      <c r="C90" s="315"/>
      <c r="D90" s="315"/>
      <c r="E90" s="315"/>
      <c r="F90" s="315"/>
      <c r="G90" s="315"/>
      <c r="H90" s="315"/>
      <c r="I90" s="315"/>
      <c r="J90" s="315"/>
      <c r="K90" s="315"/>
      <c r="L90" s="306" t="s">
        <v>118</v>
      </c>
      <c r="M90" s="308"/>
      <c r="N90" s="306" t="s">
        <v>384</v>
      </c>
      <c r="O90" s="307"/>
      <c r="P90" s="307"/>
      <c r="Q90" s="308"/>
      <c r="R90" s="315" t="s">
        <v>234</v>
      </c>
      <c r="S90" s="315"/>
      <c r="T90" s="315"/>
      <c r="U90" s="315"/>
      <c r="V90" s="315"/>
      <c r="W90" s="315"/>
      <c r="X90" s="315" t="s">
        <v>119</v>
      </c>
      <c r="Y90" s="315"/>
      <c r="Z90" s="315"/>
      <c r="AA90" s="315"/>
      <c r="AB90" s="315"/>
      <c r="AC90" s="315"/>
      <c r="AE90" s="409" t="s">
        <v>14</v>
      </c>
      <c r="AF90" s="409"/>
      <c r="AG90" s="409"/>
      <c r="AH90" s="409"/>
      <c r="AI90" s="409"/>
      <c r="AJ90" s="409"/>
      <c r="AO90" s="16" t="s">
        <v>12</v>
      </c>
    </row>
    <row r="91" spans="1:53" ht="15.75" customHeight="1" x14ac:dyDescent="0.25">
      <c r="B91" s="285" t="s">
        <v>120</v>
      </c>
      <c r="C91" s="285"/>
      <c r="D91" s="285"/>
      <c r="E91" s="285"/>
      <c r="F91" s="285"/>
      <c r="G91" s="285"/>
      <c r="H91" s="285"/>
      <c r="I91" s="285"/>
      <c r="J91" s="285"/>
      <c r="K91" s="285"/>
      <c r="L91" s="286" t="b">
        <v>0</v>
      </c>
      <c r="M91" s="287"/>
      <c r="N91" s="306"/>
      <c r="O91" s="307"/>
      <c r="P91" s="307"/>
      <c r="Q91" s="308"/>
      <c r="R91" s="575">
        <v>1</v>
      </c>
      <c r="S91" s="575"/>
      <c r="T91" s="575"/>
      <c r="U91" s="575"/>
      <c r="V91" s="575"/>
      <c r="W91" s="575"/>
      <c r="X91" s="319">
        <v>500</v>
      </c>
      <c r="Y91" s="319"/>
      <c r="Z91" s="319"/>
      <c r="AA91" s="319"/>
      <c r="AB91" s="319"/>
      <c r="AC91" s="319"/>
      <c r="AE91" s="324">
        <f t="shared" ref="AE91:AE93" si="10">X91*R91*L91</f>
        <v>0</v>
      </c>
      <c r="AF91" s="324"/>
      <c r="AG91" s="324"/>
      <c r="AH91" s="324"/>
      <c r="AI91" s="324"/>
      <c r="AJ91" s="324"/>
      <c r="AO91" s="13">
        <f>IF(L91=TRUE,AE91/$I$45,0)</f>
        <v>0</v>
      </c>
      <c r="AP91" t="s">
        <v>121</v>
      </c>
    </row>
    <row r="92" spans="1:53" ht="15.75" customHeight="1" x14ac:dyDescent="0.25">
      <c r="B92" s="285" t="s">
        <v>122</v>
      </c>
      <c r="C92" s="285"/>
      <c r="D92" s="285"/>
      <c r="E92" s="285"/>
      <c r="F92" s="285"/>
      <c r="G92" s="285"/>
      <c r="H92" s="285"/>
      <c r="I92" s="285"/>
      <c r="J92" s="285"/>
      <c r="K92" s="285"/>
      <c r="L92" s="286" t="b">
        <v>0</v>
      </c>
      <c r="M92" s="287"/>
      <c r="N92" s="306"/>
      <c r="O92" s="307"/>
      <c r="P92" s="307"/>
      <c r="Q92" s="308"/>
      <c r="R92" s="575">
        <v>1</v>
      </c>
      <c r="S92" s="575"/>
      <c r="T92" s="575"/>
      <c r="U92" s="575"/>
      <c r="V92" s="575"/>
      <c r="W92" s="575"/>
      <c r="X92" s="340">
        <v>500</v>
      </c>
      <c r="Y92" s="341"/>
      <c r="Z92" s="341"/>
      <c r="AA92" s="341"/>
      <c r="AB92" s="341"/>
      <c r="AC92" s="342"/>
      <c r="AE92" s="324">
        <f t="shared" si="10"/>
        <v>0</v>
      </c>
      <c r="AF92" s="324"/>
      <c r="AG92" s="324"/>
      <c r="AH92" s="324"/>
      <c r="AI92" s="324"/>
      <c r="AJ92" s="324"/>
      <c r="AO92" s="13">
        <f>IF(L92=TRUE,AE92/$I$45,0)</f>
        <v>0</v>
      </c>
      <c r="AP92" t="s">
        <v>123</v>
      </c>
    </row>
    <row r="93" spans="1:53" ht="15.75" customHeight="1" x14ac:dyDescent="0.25">
      <c r="B93" s="285" t="s">
        <v>124</v>
      </c>
      <c r="C93" s="285"/>
      <c r="D93" s="285"/>
      <c r="E93" s="285"/>
      <c r="F93" s="285"/>
      <c r="G93" s="285"/>
      <c r="H93" s="285"/>
      <c r="I93" s="285"/>
      <c r="J93" s="285"/>
      <c r="K93" s="285"/>
      <c r="L93" s="286" t="b">
        <v>0</v>
      </c>
      <c r="M93" s="287"/>
      <c r="N93" s="306"/>
      <c r="O93" s="307"/>
      <c r="P93" s="307"/>
      <c r="Q93" s="308"/>
      <c r="R93" s="343">
        <f ca="1">CEILING((Z88+AF88)*1.1/20,1)</f>
        <v>1</v>
      </c>
      <c r="S93" s="343"/>
      <c r="T93" s="343"/>
      <c r="U93" s="343"/>
      <c r="V93" s="343"/>
      <c r="W93" s="343"/>
      <c r="X93" s="319">
        <v>0.01</v>
      </c>
      <c r="Y93" s="319"/>
      <c r="Z93" s="319"/>
      <c r="AA93" s="319"/>
      <c r="AB93" s="319"/>
      <c r="AC93" s="319"/>
      <c r="AE93" s="324">
        <f t="shared" ca="1" si="10"/>
        <v>0</v>
      </c>
      <c r="AF93" s="324"/>
      <c r="AG93" s="324"/>
      <c r="AH93" s="324"/>
      <c r="AI93" s="324"/>
      <c r="AJ93" s="324"/>
      <c r="AO93" s="32">
        <v>0</v>
      </c>
      <c r="AP93" s="31" t="s">
        <v>125</v>
      </c>
    </row>
    <row r="94" spans="1:53" ht="15.75" customHeight="1" x14ac:dyDescent="0.25">
      <c r="B94" s="285" t="s">
        <v>126</v>
      </c>
      <c r="C94" s="285"/>
      <c r="D94" s="285"/>
      <c r="E94" s="285"/>
      <c r="F94" s="285"/>
      <c r="G94" s="285"/>
      <c r="H94" s="285"/>
      <c r="I94" s="285"/>
      <c r="J94" s="285"/>
      <c r="K94" s="285"/>
      <c r="L94" s="286" t="b">
        <f>IF(AM40=3,TRUE,FALSE)</f>
        <v>0</v>
      </c>
      <c r="M94" s="287"/>
      <c r="N94" s="337" t="s">
        <v>387</v>
      </c>
      <c r="O94" s="338"/>
      <c r="P94" s="338"/>
      <c r="Q94" s="339"/>
      <c r="R94" s="293">
        <v>0</v>
      </c>
      <c r="S94" s="293"/>
      <c r="T94" s="293"/>
      <c r="U94" s="293"/>
      <c r="V94" s="293"/>
      <c r="W94" s="293"/>
      <c r="X94" s="283">
        <f>I45</f>
        <v>85</v>
      </c>
      <c r="Y94" s="283"/>
      <c r="Z94" s="283"/>
      <c r="AA94" s="283"/>
      <c r="AB94" s="283"/>
      <c r="AC94" s="283"/>
      <c r="AE94" s="324">
        <f>X94*R94*L94</f>
        <v>0</v>
      </c>
      <c r="AF94" s="324"/>
      <c r="AG94" s="324"/>
      <c r="AH94" s="324"/>
      <c r="AI94" s="324"/>
      <c r="AJ94" s="324"/>
      <c r="AO94" s="32">
        <f>IF(L94=TRUE,R94,0)</f>
        <v>0</v>
      </c>
      <c r="AP94" s="31" t="s">
        <v>127</v>
      </c>
    </row>
    <row r="95" spans="1:53" ht="15.75" customHeight="1" x14ac:dyDescent="0.25">
      <c r="B95" s="285" t="s">
        <v>385</v>
      </c>
      <c r="C95" s="285"/>
      <c r="D95" s="285"/>
      <c r="E95" s="285"/>
      <c r="F95" s="285"/>
      <c r="G95" s="285"/>
      <c r="H95" s="285"/>
      <c r="I95" s="285"/>
      <c r="J95" s="285"/>
      <c r="K95" s="285"/>
      <c r="L95" s="286" t="b">
        <v>0</v>
      </c>
      <c r="M95" s="287"/>
      <c r="N95" s="325" t="s">
        <v>386</v>
      </c>
      <c r="O95" s="325"/>
      <c r="P95" s="325"/>
      <c r="Q95" s="325"/>
      <c r="R95" s="294">
        <v>0</v>
      </c>
      <c r="S95" s="294"/>
      <c r="T95" s="294"/>
      <c r="U95" s="294"/>
      <c r="V95" s="294"/>
      <c r="W95" s="294"/>
      <c r="X95" s="312">
        <f>CEILING(R95/12.6,5)</f>
        <v>0</v>
      </c>
      <c r="Y95" s="313"/>
      <c r="Z95" s="313"/>
      <c r="AA95" s="313"/>
      <c r="AB95" s="313"/>
      <c r="AC95" s="314"/>
      <c r="AE95" s="324">
        <f ca="1">X95*L95*I45+L95*R95*0.075*(Z88+2)</f>
        <v>0</v>
      </c>
      <c r="AF95" s="324"/>
      <c r="AG95" s="324"/>
      <c r="AH95" s="324"/>
      <c r="AI95" s="324"/>
      <c r="AJ95" s="324"/>
      <c r="AO95" s="32">
        <f>X95</f>
        <v>0</v>
      </c>
    </row>
    <row r="96" spans="1:53" ht="15.75" customHeight="1" x14ac:dyDescent="0.25">
      <c r="B96" s="285" t="s">
        <v>128</v>
      </c>
      <c r="C96" s="285"/>
      <c r="D96" s="285"/>
      <c r="E96" s="285"/>
      <c r="F96" s="285"/>
      <c r="G96" s="285"/>
      <c r="H96" s="285"/>
      <c r="I96" s="285"/>
      <c r="J96" s="285"/>
      <c r="K96" s="285"/>
      <c r="L96" s="286" t="b">
        <v>0</v>
      </c>
      <c r="M96" s="287"/>
      <c r="N96" s="331">
        <f>45*2</f>
        <v>90</v>
      </c>
      <c r="O96" s="331"/>
      <c r="P96" s="331"/>
      <c r="Q96" s="331"/>
      <c r="R96" s="586">
        <f ca="1">R93</f>
        <v>1</v>
      </c>
      <c r="S96" s="542"/>
      <c r="T96" s="542"/>
      <c r="U96" s="542"/>
      <c r="V96" s="542"/>
      <c r="W96" s="542"/>
      <c r="X96" s="291">
        <v>135</v>
      </c>
      <c r="Y96" s="291"/>
      <c r="Z96" s="291"/>
      <c r="AA96" s="291"/>
      <c r="AB96" s="291"/>
      <c r="AC96" s="291"/>
      <c r="AE96" s="324">
        <f ca="1">X96*R96*L96+N96*L96</f>
        <v>0</v>
      </c>
      <c r="AF96" s="324"/>
      <c r="AG96" s="324"/>
      <c r="AH96" s="324"/>
      <c r="AI96" s="324"/>
      <c r="AJ96" s="324"/>
      <c r="AO96" s="32" t="s">
        <v>129</v>
      </c>
      <c r="AP96" t="s">
        <v>130</v>
      </c>
    </row>
    <row r="97" spans="1:47" ht="15.75" customHeight="1" x14ac:dyDescent="0.25">
      <c r="A97" s="76"/>
      <c r="B97" s="285" t="s">
        <v>131</v>
      </c>
      <c r="C97" s="285"/>
      <c r="D97" s="285"/>
      <c r="E97" s="285"/>
      <c r="F97" s="285"/>
      <c r="G97" s="285"/>
      <c r="H97" s="285"/>
      <c r="I97" s="285"/>
      <c r="J97" s="285"/>
      <c r="K97" s="285"/>
      <c r="L97" s="286" t="b">
        <f>IF(AM41&gt;2,TRUE,FALSE)</f>
        <v>0</v>
      </c>
      <c r="M97" s="287"/>
      <c r="N97" s="332">
        <f ca="1">'2 - Échafaudages'!H136+'2 - Échafaudages'!H139+'2 - Échafaudages'!H145</f>
        <v>0</v>
      </c>
      <c r="O97" s="332"/>
      <c r="P97" s="332"/>
      <c r="Q97" s="332"/>
      <c r="R97" s="330">
        <v>1</v>
      </c>
      <c r="S97" s="330"/>
      <c r="T97" s="330"/>
      <c r="U97" s="330"/>
      <c r="V97" s="330"/>
      <c r="W97" s="330"/>
      <c r="X97" s="576">
        <f ca="1">'2 - Échafaudages'!H142</f>
        <v>0</v>
      </c>
      <c r="Y97" s="576"/>
      <c r="Z97" s="576"/>
      <c r="AA97" s="576"/>
      <c r="AB97" s="576"/>
      <c r="AC97" s="576"/>
      <c r="AE97" s="324">
        <f ca="1">X97*R97*L97+N97*L97</f>
        <v>0</v>
      </c>
      <c r="AF97" s="324"/>
      <c r="AG97" s="324"/>
      <c r="AH97" s="324"/>
      <c r="AI97" s="324"/>
      <c r="AJ97" s="324"/>
      <c r="AO97" s="32">
        <f ca="1">N97/I45</f>
        <v>0</v>
      </c>
      <c r="AP97" t="s">
        <v>125</v>
      </c>
    </row>
    <row r="98" spans="1:47" ht="15.75" customHeight="1" x14ac:dyDescent="0.25">
      <c r="A98" s="76"/>
      <c r="B98" s="285" t="s">
        <v>395</v>
      </c>
      <c r="C98" s="285"/>
      <c r="D98" s="285"/>
      <c r="E98" s="285"/>
      <c r="F98" s="285"/>
      <c r="G98" s="285"/>
      <c r="H98" s="285"/>
      <c r="I98" s="285"/>
      <c r="J98" s="285"/>
      <c r="K98" s="285"/>
      <c r="L98" s="286" t="b">
        <f>IF(AM34=2,TRUE,FALSE)</f>
        <v>0</v>
      </c>
      <c r="M98" s="287"/>
      <c r="N98" s="391">
        <v>1</v>
      </c>
      <c r="O98" s="391"/>
      <c r="P98" s="391"/>
      <c r="Q98" s="391"/>
      <c r="R98" s="563">
        <f>T88</f>
        <v>1</v>
      </c>
      <c r="S98" s="294"/>
      <c r="T98" s="294"/>
      <c r="U98" s="294"/>
      <c r="V98" s="294"/>
      <c r="W98" s="294"/>
      <c r="X98" s="319">
        <v>475</v>
      </c>
      <c r="Y98" s="319"/>
      <c r="Z98" s="319"/>
      <c r="AA98" s="319"/>
      <c r="AB98" s="319"/>
      <c r="AC98" s="319"/>
      <c r="AE98" s="324">
        <f>X98*R98*L98</f>
        <v>0</v>
      </c>
      <c r="AF98" s="324"/>
      <c r="AG98" s="324"/>
      <c r="AH98" s="324"/>
      <c r="AI98" s="324"/>
      <c r="AJ98" s="324"/>
      <c r="AO98" s="32">
        <v>0</v>
      </c>
      <c r="AP98" t="s">
        <v>132</v>
      </c>
    </row>
    <row r="99" spans="1:47" ht="15.75" customHeight="1" x14ac:dyDescent="0.25">
      <c r="A99" s="76"/>
      <c r="B99" s="285" t="s">
        <v>133</v>
      </c>
      <c r="C99" s="285"/>
      <c r="D99" s="285"/>
      <c r="E99" s="285"/>
      <c r="F99" s="285"/>
      <c r="G99" s="285"/>
      <c r="H99" s="285"/>
      <c r="I99" s="285"/>
      <c r="J99" s="285"/>
      <c r="K99" s="285"/>
      <c r="L99" s="286" t="b">
        <f>IF(AM33=4,TRUE,FALSE)</f>
        <v>0</v>
      </c>
      <c r="M99" s="287"/>
      <c r="N99" s="325"/>
      <c r="O99" s="325"/>
      <c r="P99" s="325"/>
      <c r="Q99" s="325"/>
      <c r="R99" s="564">
        <v>0.01</v>
      </c>
      <c r="S99" s="564"/>
      <c r="T99" s="564"/>
      <c r="U99" s="564"/>
      <c r="V99" s="564"/>
      <c r="W99" s="564"/>
      <c r="X99" s="565">
        <v>1.0999999999999999E-2</v>
      </c>
      <c r="Y99" s="565"/>
      <c r="Z99" s="565"/>
      <c r="AA99" s="565"/>
      <c r="AB99" s="565"/>
      <c r="AC99" s="565"/>
      <c r="AE99" s="324">
        <f>X99*R99*L99+N99*L99</f>
        <v>0</v>
      </c>
      <c r="AF99" s="324"/>
      <c r="AG99" s="324"/>
      <c r="AH99" s="324"/>
      <c r="AI99" s="324"/>
      <c r="AJ99" s="324"/>
      <c r="AO99" s="32">
        <v>0</v>
      </c>
      <c r="AP99" t="s">
        <v>132</v>
      </c>
    </row>
    <row r="100" spans="1:47" ht="15.75" customHeight="1" x14ac:dyDescent="0.25">
      <c r="A100" s="77"/>
      <c r="B100" s="285" t="s">
        <v>134</v>
      </c>
      <c r="C100" s="285"/>
      <c r="D100" s="285"/>
      <c r="E100" s="285"/>
      <c r="F100" s="285"/>
      <c r="G100" s="285"/>
      <c r="H100" s="285"/>
      <c r="I100" s="285"/>
      <c r="J100" s="285"/>
      <c r="K100" s="285"/>
      <c r="L100" s="286" t="s">
        <v>135</v>
      </c>
      <c r="M100" s="287"/>
      <c r="N100" s="331"/>
      <c r="O100" s="331"/>
      <c r="P100" s="331"/>
      <c r="Q100" s="331"/>
      <c r="R100" s="557">
        <f ca="1">CEILING(Z88+(AF88/3)+N88/2,1)</f>
        <v>3</v>
      </c>
      <c r="S100" s="542"/>
      <c r="T100" s="542"/>
      <c r="U100" s="542"/>
      <c r="V100" s="542"/>
      <c r="W100" s="542"/>
      <c r="X100" s="291">
        <v>225</v>
      </c>
      <c r="Y100" s="291"/>
      <c r="Z100" s="291"/>
      <c r="AA100" s="291"/>
      <c r="AB100" s="291"/>
      <c r="AC100" s="291"/>
      <c r="AE100" s="324">
        <f ca="1">X100*R100*AN87</f>
        <v>675</v>
      </c>
      <c r="AF100" s="324"/>
      <c r="AG100" s="324"/>
      <c r="AH100" s="324"/>
      <c r="AI100" s="324"/>
      <c r="AJ100" s="324"/>
      <c r="AO100" s="32">
        <v>0</v>
      </c>
      <c r="AP100" t="s">
        <v>136</v>
      </c>
    </row>
    <row r="101" spans="1:47" ht="15.75" customHeight="1" x14ac:dyDescent="0.25">
      <c r="A101" s="76"/>
      <c r="B101" s="285" t="s">
        <v>396</v>
      </c>
      <c r="C101" s="285"/>
      <c r="D101" s="285"/>
      <c r="E101" s="285"/>
      <c r="F101" s="285"/>
      <c r="G101" s="285"/>
      <c r="H101" s="285"/>
      <c r="I101" s="285"/>
      <c r="J101" s="285"/>
      <c r="K101" s="285"/>
      <c r="L101" s="286"/>
      <c r="M101" s="287"/>
      <c r="N101" s="392">
        <v>1</v>
      </c>
      <c r="O101" s="392"/>
      <c r="P101" s="392"/>
      <c r="Q101" s="392"/>
      <c r="R101" s="562">
        <f ca="1">N101*H5*2/100*20*(AF88/N101+Z88+N88/N101)</f>
        <v>0</v>
      </c>
      <c r="S101" s="562"/>
      <c r="T101" s="562"/>
      <c r="U101" s="562"/>
      <c r="V101" s="562"/>
      <c r="W101" s="562"/>
      <c r="X101" s="291">
        <v>1.57</v>
      </c>
      <c r="Y101" s="291"/>
      <c r="Z101" s="291"/>
      <c r="AA101" s="291"/>
      <c r="AB101" s="291"/>
      <c r="AC101" s="291"/>
      <c r="AE101" s="324">
        <f ca="1">X101*R101</f>
        <v>0</v>
      </c>
      <c r="AF101" s="324"/>
      <c r="AG101" s="324"/>
      <c r="AH101" s="324"/>
      <c r="AI101" s="324"/>
      <c r="AJ101" s="324"/>
      <c r="AO101" s="32">
        <v>0</v>
      </c>
      <c r="AP101" t="s">
        <v>132</v>
      </c>
    </row>
    <row r="102" spans="1:47" ht="15.75" customHeight="1" x14ac:dyDescent="0.25">
      <c r="A102" s="76"/>
      <c r="B102" s="285" t="s">
        <v>137</v>
      </c>
      <c r="C102" s="285"/>
      <c r="D102" s="285"/>
      <c r="E102" s="285"/>
      <c r="F102" s="285"/>
      <c r="G102" s="285"/>
      <c r="H102" s="285"/>
      <c r="I102" s="285"/>
      <c r="J102" s="285"/>
      <c r="K102" s="285"/>
      <c r="L102" s="286" t="s">
        <v>135</v>
      </c>
      <c r="M102" s="287"/>
      <c r="N102" s="306"/>
      <c r="O102" s="307"/>
      <c r="P102" s="307"/>
      <c r="Q102" s="308"/>
      <c r="R102" s="561">
        <f ca="1">Z88*Z87+AF87*AF88/1.5+N88*N87/1.5+T88</f>
        <v>31</v>
      </c>
      <c r="S102" s="561"/>
      <c r="T102" s="561"/>
      <c r="U102" s="561"/>
      <c r="V102" s="561"/>
      <c r="W102" s="561"/>
      <c r="X102" s="291">
        <v>12</v>
      </c>
      <c r="Y102" s="291"/>
      <c r="Z102" s="291"/>
      <c r="AA102" s="291"/>
      <c r="AB102" s="291"/>
      <c r="AC102" s="291"/>
      <c r="AE102" s="324">
        <f ca="1">X102*R102*AN87</f>
        <v>372</v>
      </c>
      <c r="AF102" s="324"/>
      <c r="AG102" s="324"/>
      <c r="AH102" s="324"/>
      <c r="AI102" s="324"/>
      <c r="AJ102" s="324"/>
      <c r="AO102" s="32">
        <v>0</v>
      </c>
      <c r="AP102" t="s">
        <v>132</v>
      </c>
      <c r="AR102" t="s">
        <v>138</v>
      </c>
      <c r="AT102" s="2">
        <v>403</v>
      </c>
      <c r="AU102" s="2">
        <v>404</v>
      </c>
    </row>
    <row r="103" spans="1:47" ht="15.75" customHeight="1" x14ac:dyDescent="0.25">
      <c r="A103" s="76"/>
      <c r="B103" s="285" t="s">
        <v>139</v>
      </c>
      <c r="C103" s="285"/>
      <c r="D103" s="285"/>
      <c r="E103" s="285"/>
      <c r="F103" s="285"/>
      <c r="G103" s="285"/>
      <c r="H103" s="285"/>
      <c r="I103" s="285"/>
      <c r="J103" s="285"/>
      <c r="K103" s="285"/>
      <c r="L103" s="286">
        <f>AM32-2</f>
        <v>-1</v>
      </c>
      <c r="M103" s="287"/>
      <c r="N103" s="421" t="s">
        <v>390</v>
      </c>
      <c r="O103" s="422"/>
      <c r="P103" s="422"/>
      <c r="Q103" s="423"/>
      <c r="R103" s="563">
        <v>0</v>
      </c>
      <c r="S103" s="563"/>
      <c r="T103" s="563"/>
      <c r="U103" s="563"/>
      <c r="V103" s="563"/>
      <c r="W103" s="563"/>
      <c r="X103" s="291">
        <f>I45</f>
        <v>85</v>
      </c>
      <c r="Y103" s="291"/>
      <c r="Z103" s="291"/>
      <c r="AA103" s="291"/>
      <c r="AB103" s="291"/>
      <c r="AC103" s="291"/>
      <c r="AE103" s="324">
        <f>IF(L103&lt;0,0,X103*L103*R103)</f>
        <v>0</v>
      </c>
      <c r="AF103" s="324"/>
      <c r="AG103" s="324"/>
      <c r="AH103" s="324"/>
      <c r="AI103" s="324"/>
      <c r="AJ103" s="324"/>
      <c r="AO103" s="32">
        <f>AE103/I45</f>
        <v>0</v>
      </c>
      <c r="AP103" t="s">
        <v>140</v>
      </c>
    </row>
    <row r="104" spans="1:47" ht="15.75" customHeight="1" x14ac:dyDescent="0.25">
      <c r="A104" s="76"/>
      <c r="B104" s="285" t="s">
        <v>141</v>
      </c>
      <c r="C104" s="285"/>
      <c r="D104" s="285"/>
      <c r="E104" s="285"/>
      <c r="F104" s="285"/>
      <c r="G104" s="285"/>
      <c r="H104" s="285"/>
      <c r="I104" s="285"/>
      <c r="J104" s="285"/>
      <c r="K104" s="285"/>
      <c r="L104" s="286" t="s">
        <v>135</v>
      </c>
      <c r="M104" s="287"/>
      <c r="N104" s="306"/>
      <c r="O104" s="307"/>
      <c r="P104" s="307"/>
      <c r="Q104" s="308"/>
      <c r="R104" s="556">
        <f>(R103+AF88+T88+N88+1)*(IF(H5&gt;30,H5,H5+5))/60*2</f>
        <v>0.33333333333333331</v>
      </c>
      <c r="S104" s="556"/>
      <c r="T104" s="556"/>
      <c r="U104" s="556"/>
      <c r="V104" s="556"/>
      <c r="W104" s="556"/>
      <c r="X104" s="291">
        <f>I45</f>
        <v>85</v>
      </c>
      <c r="Y104" s="291"/>
      <c r="Z104" s="291"/>
      <c r="AA104" s="291"/>
      <c r="AB104" s="291"/>
      <c r="AC104" s="291"/>
      <c r="AE104" s="324">
        <f>X104*R104*AN87</f>
        <v>28.333333333333332</v>
      </c>
      <c r="AF104" s="324"/>
      <c r="AG104" s="324"/>
      <c r="AH104" s="324"/>
      <c r="AI104" s="324"/>
      <c r="AJ104" s="324"/>
      <c r="AO104" s="32">
        <f>R104</f>
        <v>0.33333333333333331</v>
      </c>
      <c r="AP104" t="s">
        <v>140</v>
      </c>
    </row>
    <row r="105" spans="1:47" ht="15.75" customHeight="1" x14ac:dyDescent="0.25">
      <c r="A105" s="76"/>
      <c r="B105" s="285" t="s">
        <v>202</v>
      </c>
      <c r="C105" s="285"/>
      <c r="D105" s="285"/>
      <c r="E105" s="285"/>
      <c r="F105" s="285"/>
      <c r="G105" s="285"/>
      <c r="H105" s="285"/>
      <c r="I105" s="285"/>
      <c r="J105" s="285"/>
      <c r="K105" s="285"/>
      <c r="L105" s="286" t="s">
        <v>135</v>
      </c>
      <c r="M105" s="287"/>
      <c r="N105" s="306"/>
      <c r="O105" s="307"/>
      <c r="P105" s="307"/>
      <c r="Q105" s="308"/>
      <c r="R105" s="424">
        <f ca="1">(Z88*(Z86-1)+((AF86-1)*AF88)+(N86-1)*N88)*U5</f>
        <v>15</v>
      </c>
      <c r="S105" s="424"/>
      <c r="T105" s="424"/>
      <c r="U105" s="424"/>
      <c r="V105" s="424"/>
      <c r="W105" s="424"/>
      <c r="X105" s="291">
        <f>O5</f>
        <v>0</v>
      </c>
      <c r="Y105" s="291"/>
      <c r="Z105" s="291"/>
      <c r="AA105" s="291"/>
      <c r="AB105" s="291"/>
      <c r="AC105" s="291"/>
      <c r="AE105" s="324">
        <f ca="1">X105*R105</f>
        <v>0</v>
      </c>
      <c r="AF105" s="324"/>
      <c r="AG105" s="324"/>
      <c r="AH105" s="324"/>
      <c r="AI105" s="324"/>
      <c r="AJ105" s="324"/>
      <c r="AO105" s="32">
        <v>0</v>
      </c>
      <c r="AP105" t="s">
        <v>132</v>
      </c>
    </row>
    <row r="106" spans="1:47" ht="15.75" customHeight="1" x14ac:dyDescent="0.25">
      <c r="A106" s="76"/>
      <c r="B106" s="285" t="s">
        <v>337</v>
      </c>
      <c r="C106" s="285"/>
      <c r="D106" s="285"/>
      <c r="E106" s="285"/>
      <c r="F106" s="285"/>
      <c r="G106" s="285"/>
      <c r="H106" s="285"/>
      <c r="I106" s="285"/>
      <c r="J106" s="285"/>
      <c r="K106" s="285"/>
      <c r="L106" s="286" t="b">
        <v>0</v>
      </c>
      <c r="M106" s="287"/>
      <c r="N106" s="306"/>
      <c r="O106" s="307"/>
      <c r="P106" s="307"/>
      <c r="Q106" s="308"/>
      <c r="R106" s="557">
        <f ca="1">Z88*(Z86-2)+AF88+N88*(N86-2)</f>
        <v>12</v>
      </c>
      <c r="S106" s="542"/>
      <c r="T106" s="542"/>
      <c r="U106" s="542"/>
      <c r="V106" s="542"/>
      <c r="W106" s="542"/>
      <c r="X106" s="291">
        <v>20</v>
      </c>
      <c r="Y106" s="291"/>
      <c r="Z106" s="291"/>
      <c r="AA106" s="291"/>
      <c r="AB106" s="291"/>
      <c r="AC106" s="291"/>
      <c r="AE106" s="324">
        <f ca="1">X106*R106*L106</f>
        <v>0</v>
      </c>
      <c r="AF106" s="324"/>
      <c r="AG106" s="324"/>
      <c r="AH106" s="324"/>
      <c r="AI106" s="324"/>
      <c r="AJ106" s="324"/>
      <c r="AO106" s="32">
        <v>0</v>
      </c>
      <c r="AP106" t="s">
        <v>132</v>
      </c>
      <c r="AR106">
        <f ca="1">48/2/(Z88+AF88)</f>
        <v>8</v>
      </c>
    </row>
    <row r="107" spans="1:47" ht="15.75" customHeight="1" x14ac:dyDescent="0.25">
      <c r="A107" s="76"/>
      <c r="B107" s="285" t="s">
        <v>679</v>
      </c>
      <c r="C107" s="285"/>
      <c r="D107" s="285"/>
      <c r="E107" s="285"/>
      <c r="F107" s="285"/>
      <c r="G107" s="285"/>
      <c r="H107" s="285"/>
      <c r="I107" s="285"/>
      <c r="J107" s="285"/>
      <c r="K107" s="285"/>
      <c r="L107" s="286" t="b">
        <f>IF(AM21&gt;1,TRUE,FALSE)</f>
        <v>0</v>
      </c>
      <c r="M107" s="287"/>
      <c r="N107" s="316">
        <v>0</v>
      </c>
      <c r="O107" s="317"/>
      <c r="P107" s="317"/>
      <c r="Q107" s="318"/>
      <c r="R107" s="277">
        <f>VLOOKUP(AM21,AO52:AR60,4,FALSE)</f>
        <v>0</v>
      </c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9"/>
      <c r="AE107" s="324">
        <f>MAX(VLOOKUP(AM21,AO52:AQ60,3,FALSE),N107)</f>
        <v>0</v>
      </c>
      <c r="AF107" s="324"/>
      <c r="AG107" s="324"/>
      <c r="AH107" s="324"/>
      <c r="AI107" s="324"/>
      <c r="AJ107" s="324"/>
      <c r="AO107" s="32">
        <v>0</v>
      </c>
      <c r="AP107" t="s">
        <v>132</v>
      </c>
    </row>
    <row r="108" spans="1:47" ht="15.75" customHeight="1" x14ac:dyDescent="0.25">
      <c r="A108" s="76"/>
      <c r="B108" s="285" t="s">
        <v>142</v>
      </c>
      <c r="C108" s="285"/>
      <c r="D108" s="285"/>
      <c r="E108" s="285"/>
      <c r="F108" s="285"/>
      <c r="G108" s="285"/>
      <c r="H108" s="285"/>
      <c r="I108" s="285"/>
      <c r="J108" s="285"/>
      <c r="K108" s="285"/>
      <c r="L108" s="286" t="b">
        <f>IF($AM$31=4,TRUE,IF($AM$31=6,TRUE,FALSE))</f>
        <v>0</v>
      </c>
      <c r="M108" s="287"/>
      <c r="N108" s="319">
        <v>650</v>
      </c>
      <c r="O108" s="319"/>
      <c r="P108" s="319"/>
      <c r="Q108" s="319"/>
      <c r="R108" s="419">
        <f ca="1">Z88</f>
        <v>3</v>
      </c>
      <c r="S108" s="420"/>
      <c r="T108" s="420"/>
      <c r="U108" s="420"/>
      <c r="V108" s="420"/>
      <c r="W108" s="420"/>
      <c r="X108" s="291"/>
      <c r="Y108" s="291"/>
      <c r="Z108" s="291"/>
      <c r="AA108" s="291"/>
      <c r="AB108" s="291"/>
      <c r="AC108" s="291"/>
      <c r="AE108" s="324">
        <f ca="1">N108*R108*L108</f>
        <v>0</v>
      </c>
      <c r="AF108" s="324"/>
      <c r="AG108" s="324"/>
      <c r="AH108" s="324"/>
      <c r="AI108" s="324"/>
      <c r="AJ108" s="324"/>
      <c r="AO108" s="32">
        <v>0</v>
      </c>
      <c r="AP108" t="s">
        <v>132</v>
      </c>
    </row>
    <row r="109" spans="1:47" ht="15.75" customHeight="1" x14ac:dyDescent="0.25">
      <c r="A109" s="76"/>
      <c r="B109" s="285" t="s">
        <v>143</v>
      </c>
      <c r="C109" s="285"/>
      <c r="D109" s="285"/>
      <c r="E109" s="285"/>
      <c r="F109" s="285"/>
      <c r="G109" s="285"/>
      <c r="H109" s="285"/>
      <c r="I109" s="285"/>
      <c r="J109" s="285"/>
      <c r="K109" s="285"/>
      <c r="L109" s="286" t="b">
        <v>0</v>
      </c>
      <c r="M109" s="287"/>
      <c r="N109" s="295"/>
      <c r="O109" s="295"/>
      <c r="P109" s="295"/>
      <c r="Q109" s="295"/>
      <c r="R109" s="390">
        <v>8</v>
      </c>
      <c r="S109" s="390"/>
      <c r="T109" s="390"/>
      <c r="U109" s="390"/>
      <c r="V109" s="390"/>
      <c r="W109" s="390"/>
      <c r="X109" s="580">
        <f>I26</f>
        <v>0</v>
      </c>
      <c r="Y109" s="580"/>
      <c r="Z109" s="580"/>
      <c r="AA109" s="580"/>
      <c r="AB109" s="580"/>
      <c r="AC109" s="580"/>
      <c r="AE109" s="324">
        <f>X109*R109*L109</f>
        <v>0</v>
      </c>
      <c r="AF109" s="324"/>
      <c r="AG109" s="324"/>
      <c r="AH109" s="324"/>
      <c r="AI109" s="324"/>
      <c r="AJ109" s="324"/>
      <c r="AO109" s="32">
        <v>0</v>
      </c>
      <c r="AP109" t="s">
        <v>132</v>
      </c>
    </row>
    <row r="110" spans="1:47" ht="15.75" customHeight="1" thickBot="1" x14ac:dyDescent="0.3">
      <c r="A110" s="76"/>
      <c r="B110" s="285" t="s">
        <v>144</v>
      </c>
      <c r="C110" s="285"/>
      <c r="D110" s="285"/>
      <c r="E110" s="285"/>
      <c r="F110" s="285"/>
      <c r="G110" s="285"/>
      <c r="H110" s="285"/>
      <c r="I110" s="285"/>
      <c r="J110" s="285"/>
      <c r="K110" s="285"/>
      <c r="L110" s="286" t="b">
        <v>0</v>
      </c>
      <c r="M110" s="287"/>
      <c r="N110" s="408"/>
      <c r="O110" s="408"/>
      <c r="P110" s="408"/>
      <c r="Q110" s="408"/>
      <c r="R110" s="395" t="s">
        <v>570</v>
      </c>
      <c r="S110" s="395"/>
      <c r="T110" s="395"/>
      <c r="U110" s="395"/>
      <c r="V110" s="395"/>
      <c r="W110" s="395"/>
      <c r="X110" s="319">
        <v>2500</v>
      </c>
      <c r="Y110" s="319"/>
      <c r="Z110" s="319"/>
      <c r="AA110" s="319"/>
      <c r="AB110" s="319"/>
      <c r="AC110" s="319"/>
      <c r="AE110" s="324">
        <f>X110*L110</f>
        <v>0</v>
      </c>
      <c r="AF110" s="324"/>
      <c r="AG110" s="324"/>
      <c r="AH110" s="324"/>
      <c r="AI110" s="324"/>
      <c r="AJ110" s="324"/>
      <c r="AO110" s="32">
        <v>0</v>
      </c>
      <c r="AP110" t="s">
        <v>132</v>
      </c>
    </row>
    <row r="111" spans="1:47" ht="15.75" customHeight="1" thickTop="1" thickBot="1" x14ac:dyDescent="0.3">
      <c r="A111" s="76"/>
      <c r="B111" s="285" t="s">
        <v>392</v>
      </c>
      <c r="C111" s="285"/>
      <c r="D111" s="285"/>
      <c r="E111" s="285"/>
      <c r="F111" s="285"/>
      <c r="G111" s="285"/>
      <c r="H111" s="285"/>
      <c r="I111" s="285"/>
      <c r="J111" s="285"/>
      <c r="K111" s="285"/>
      <c r="L111" s="412" t="b">
        <f>IF(AM42&gt;1,TRUE,FALSE)</f>
        <v>0</v>
      </c>
      <c r="M111" s="412"/>
      <c r="N111" s="413">
        <v>0</v>
      </c>
      <c r="O111" s="414"/>
      <c r="P111" s="414"/>
      <c r="Q111" s="415"/>
      <c r="R111" s="394">
        <v>1</v>
      </c>
      <c r="S111" s="395"/>
      <c r="T111" s="395"/>
      <c r="U111" s="395"/>
      <c r="V111" s="395"/>
      <c r="W111" s="395"/>
      <c r="X111" s="418">
        <f>VLOOKUP(AM42,$AN$33:$BD$42,15,FALSE)</f>
        <v>0</v>
      </c>
      <c r="Y111" s="418"/>
      <c r="Z111" s="418"/>
      <c r="AA111" s="418"/>
      <c r="AB111" s="418"/>
      <c r="AC111" s="418"/>
      <c r="AE111" s="324">
        <f>X111*T85*L111+N111*L111</f>
        <v>0</v>
      </c>
      <c r="AF111" s="324"/>
      <c r="AG111" s="324"/>
      <c r="AH111" s="324"/>
      <c r="AI111" s="324"/>
      <c r="AJ111" s="324"/>
      <c r="AO111" s="32">
        <v>0</v>
      </c>
      <c r="AP111" t="s">
        <v>132</v>
      </c>
    </row>
    <row r="112" spans="1:47" ht="15.75" customHeight="1" thickTop="1" x14ac:dyDescent="0.25">
      <c r="A112" s="76"/>
      <c r="B112" s="285" t="s">
        <v>393</v>
      </c>
      <c r="C112" s="285"/>
      <c r="D112" s="285"/>
      <c r="E112" s="285"/>
      <c r="F112" s="285"/>
      <c r="G112" s="285"/>
      <c r="H112" s="285"/>
      <c r="I112" s="285"/>
      <c r="J112" s="285"/>
      <c r="K112" s="285"/>
      <c r="L112" s="286" t="b">
        <f>IF(AM43&gt;1,TRUE,FALSE)</f>
        <v>0</v>
      </c>
      <c r="M112" s="287"/>
      <c r="N112" s="288">
        <f>VLOOKUP(AM43,$AN$33:$BE$42,18,FALSE)</f>
        <v>0</v>
      </c>
      <c r="O112" s="288"/>
      <c r="P112" s="288"/>
      <c r="Q112" s="288"/>
      <c r="R112" s="289">
        <v>20</v>
      </c>
      <c r="S112" s="290"/>
      <c r="T112" s="290"/>
      <c r="U112" s="290"/>
      <c r="V112" s="290"/>
      <c r="W112" s="290"/>
      <c r="X112" s="291">
        <f>VLOOKUP(AM43,$AN$33:$BE$42,17,FALSE)</f>
        <v>0</v>
      </c>
      <c r="Y112" s="291"/>
      <c r="Z112" s="291"/>
      <c r="AA112" s="291"/>
      <c r="AB112" s="291"/>
      <c r="AC112" s="291"/>
      <c r="AE112" s="324">
        <f>X112*R112*L112+N112*L112</f>
        <v>0</v>
      </c>
      <c r="AF112" s="324"/>
      <c r="AG112" s="324"/>
      <c r="AH112" s="324"/>
      <c r="AI112" s="324"/>
      <c r="AJ112" s="324"/>
      <c r="AO112" s="32">
        <v>0</v>
      </c>
      <c r="AP112" t="s">
        <v>132</v>
      </c>
    </row>
    <row r="113" spans="1:42" ht="15.75" customHeight="1" x14ac:dyDescent="0.25">
      <c r="A113" s="76"/>
      <c r="B113" s="285" t="s">
        <v>145</v>
      </c>
      <c r="C113" s="285"/>
      <c r="D113" s="285"/>
      <c r="E113" s="285"/>
      <c r="F113" s="285"/>
      <c r="G113" s="285"/>
      <c r="H113" s="285"/>
      <c r="I113" s="285"/>
      <c r="J113" s="285"/>
      <c r="K113" s="285"/>
      <c r="L113" s="286" t="b">
        <v>0</v>
      </c>
      <c r="M113" s="287"/>
      <c r="N113" s="387"/>
      <c r="O113" s="388"/>
      <c r="P113" s="388"/>
      <c r="Q113" s="389"/>
      <c r="R113" s="294">
        <v>1</v>
      </c>
      <c r="S113" s="294"/>
      <c r="T113" s="294"/>
      <c r="U113" s="294"/>
      <c r="V113" s="294"/>
      <c r="W113" s="294"/>
      <c r="X113" s="319">
        <v>1</v>
      </c>
      <c r="Y113" s="319"/>
      <c r="Z113" s="319"/>
      <c r="AA113" s="319"/>
      <c r="AB113" s="319"/>
      <c r="AC113" s="319"/>
      <c r="AE113" s="324">
        <f>X113*R113*L113</f>
        <v>0</v>
      </c>
      <c r="AF113" s="324"/>
      <c r="AG113" s="324"/>
      <c r="AH113" s="324"/>
      <c r="AI113" s="324"/>
      <c r="AJ113" s="324"/>
      <c r="AO113" s="32">
        <v>0</v>
      </c>
      <c r="AP113" t="s">
        <v>132</v>
      </c>
    </row>
    <row r="114" spans="1:42" ht="15.75" customHeight="1" x14ac:dyDescent="0.25">
      <c r="A114" s="76"/>
      <c r="B114" s="285" t="s">
        <v>232</v>
      </c>
      <c r="C114" s="285"/>
      <c r="D114" s="285"/>
      <c r="E114" s="285"/>
      <c r="F114" s="285"/>
      <c r="G114" s="285"/>
      <c r="H114" s="285"/>
      <c r="I114" s="285"/>
      <c r="J114" s="285"/>
      <c r="K114" s="285"/>
      <c r="L114" s="286" t="b">
        <f>IF(AM39=2,TRUE,FALSE)</f>
        <v>0</v>
      </c>
      <c r="M114" s="287"/>
      <c r="N114" s="411" t="s">
        <v>391</v>
      </c>
      <c r="O114" s="411"/>
      <c r="P114" s="411"/>
      <c r="Q114" s="411"/>
      <c r="R114" s="292">
        <v>1</v>
      </c>
      <c r="S114" s="292"/>
      <c r="T114" s="292"/>
      <c r="U114" s="292"/>
      <c r="V114" s="292"/>
      <c r="W114" s="292"/>
      <c r="X114" s="293">
        <v>1</v>
      </c>
      <c r="Y114" s="293"/>
      <c r="Z114" s="293"/>
      <c r="AA114" s="293"/>
      <c r="AB114" s="293"/>
      <c r="AC114" s="293"/>
      <c r="AE114" s="324">
        <f>I45*X114*R114*L114</f>
        <v>0</v>
      </c>
      <c r="AF114" s="324"/>
      <c r="AG114" s="324"/>
      <c r="AH114" s="324"/>
      <c r="AI114" s="324"/>
      <c r="AJ114" s="324"/>
      <c r="AO114" s="32">
        <f>X114*R114</f>
        <v>1</v>
      </c>
    </row>
    <row r="115" spans="1:42" ht="15.75" customHeight="1" x14ac:dyDescent="0.25">
      <c r="A115" s="76"/>
      <c r="B115" s="285" t="s">
        <v>235</v>
      </c>
      <c r="C115" s="285"/>
      <c r="D115" s="285"/>
      <c r="E115" s="285"/>
      <c r="F115" s="285"/>
      <c r="G115" s="285"/>
      <c r="H115" s="285"/>
      <c r="I115" s="285"/>
      <c r="J115" s="285"/>
      <c r="K115" s="285"/>
      <c r="L115" s="416" t="b">
        <v>0</v>
      </c>
      <c r="M115" s="417"/>
      <c r="N115" s="387"/>
      <c r="O115" s="388"/>
      <c r="P115" s="388"/>
      <c r="Q115" s="389"/>
      <c r="R115" s="294">
        <v>1</v>
      </c>
      <c r="S115" s="294"/>
      <c r="T115" s="294"/>
      <c r="U115" s="294"/>
      <c r="V115" s="294"/>
      <c r="W115" s="294"/>
      <c r="X115" s="319">
        <v>1</v>
      </c>
      <c r="Y115" s="319"/>
      <c r="Z115" s="319"/>
      <c r="AA115" s="319"/>
      <c r="AB115" s="319"/>
      <c r="AC115" s="319"/>
      <c r="AE115" s="324">
        <f>L115*X115*R115</f>
        <v>0</v>
      </c>
      <c r="AF115" s="324"/>
      <c r="AG115" s="324"/>
      <c r="AH115" s="324"/>
      <c r="AI115" s="324"/>
      <c r="AJ115" s="324"/>
      <c r="AO115" s="32">
        <v>0</v>
      </c>
      <c r="AP115" t="s">
        <v>397</v>
      </c>
    </row>
    <row r="116" spans="1:42" ht="5.25" customHeight="1" thickBot="1" x14ac:dyDescent="0.3">
      <c r="A116" s="76"/>
    </row>
    <row r="117" spans="1:42" ht="15.75" customHeight="1" thickBot="1" x14ac:dyDescent="0.3">
      <c r="A117" s="76"/>
      <c r="B117" t="s">
        <v>241</v>
      </c>
      <c r="L117" s="5" t="s">
        <v>242</v>
      </c>
      <c r="M117" s="584">
        <f ca="1">AO117</f>
        <v>1.3333333333333333</v>
      </c>
      <c r="N117" s="585"/>
      <c r="O117" s="585"/>
      <c r="V117" s="78"/>
      <c r="W117" s="78"/>
      <c r="X117" s="78"/>
      <c r="Y117" s="78"/>
      <c r="Z117" s="78"/>
      <c r="AA117" s="78"/>
      <c r="AB117" s="78"/>
      <c r="AC117" s="78"/>
      <c r="AD117" s="19" t="s">
        <v>146</v>
      </c>
      <c r="AE117" s="577">
        <f ca="1">SUM(AE91:AJ113)*AN87</f>
        <v>1075.3333333333333</v>
      </c>
      <c r="AF117" s="578"/>
      <c r="AG117" s="578"/>
      <c r="AH117" s="578"/>
      <c r="AI117" s="578"/>
      <c r="AJ117" s="579"/>
      <c r="AO117" s="58">
        <f ca="1">SUM(AO91:AO115)</f>
        <v>1.3333333333333333</v>
      </c>
      <c r="AP117" s="2" t="s">
        <v>233</v>
      </c>
    </row>
    <row r="118" spans="1:42" ht="5.25" customHeight="1" x14ac:dyDescent="0.25">
      <c r="A118" s="76"/>
    </row>
    <row r="119" spans="1:42" x14ac:dyDescent="0.25">
      <c r="A119" s="73" t="s">
        <v>388</v>
      </c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571" t="s">
        <v>236</v>
      </c>
      <c r="AA119" s="571"/>
      <c r="AB119" s="571"/>
      <c r="AC119" s="571"/>
      <c r="AD119" s="571"/>
      <c r="AE119" s="571"/>
      <c r="AF119" s="571"/>
      <c r="AG119" s="571"/>
      <c r="AH119" s="571"/>
      <c r="AI119" s="571"/>
      <c r="AJ119" s="571"/>
      <c r="AK119" s="572"/>
    </row>
    <row r="120" spans="1:42" ht="12" customHeight="1" x14ac:dyDescent="0.25">
      <c r="A120" s="76"/>
    </row>
    <row r="121" spans="1:42" x14ac:dyDescent="0.25">
      <c r="A121" s="79"/>
      <c r="B121" s="79"/>
      <c r="C121" s="79"/>
      <c r="D121" s="79"/>
      <c r="E121" s="79"/>
      <c r="G121" s="79"/>
      <c r="H121" s="79"/>
      <c r="I121" s="79"/>
      <c r="J121" s="7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B121" s="409" t="s">
        <v>10</v>
      </c>
      <c r="AC121" s="409"/>
      <c r="AD121" s="409"/>
      <c r="AE121" s="409"/>
      <c r="AG121" s="409" t="s">
        <v>246</v>
      </c>
      <c r="AH121" s="409"/>
      <c r="AI121" s="409"/>
      <c r="AJ121" s="409"/>
    </row>
    <row r="122" spans="1:42" ht="27.75" customHeight="1" x14ac:dyDescent="0.45">
      <c r="A122" s="11"/>
      <c r="B122" s="80" t="s">
        <v>247</v>
      </c>
      <c r="C122" s="80"/>
      <c r="D122" s="81"/>
      <c r="E122" s="81"/>
      <c r="F122" s="82"/>
      <c r="G122" s="83"/>
      <c r="H122" s="83"/>
      <c r="I122" s="351"/>
      <c r="J122" s="351"/>
      <c r="K122" s="351"/>
      <c r="L122" s="351"/>
      <c r="M122" s="351"/>
      <c r="N122" s="351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  <c r="AA122" s="11"/>
      <c r="AB122" s="393">
        <v>0</v>
      </c>
      <c r="AC122" s="393"/>
      <c r="AD122" s="393"/>
      <c r="AE122" s="393"/>
      <c r="AF122" s="11"/>
      <c r="AG122" s="410">
        <v>0</v>
      </c>
      <c r="AH122" s="410"/>
      <c r="AI122" s="410"/>
      <c r="AJ122" s="410"/>
    </row>
    <row r="123" spans="1:42" ht="20.25" customHeight="1" x14ac:dyDescent="0.45">
      <c r="B123" s="80"/>
      <c r="C123" s="80"/>
      <c r="D123" s="80"/>
      <c r="E123" s="80"/>
      <c r="F123" s="80"/>
    </row>
    <row r="124" spans="1:42" ht="27.75" customHeight="1" x14ac:dyDescent="0.45">
      <c r="B124" s="80" t="s">
        <v>253</v>
      </c>
      <c r="C124" s="80"/>
      <c r="D124" s="80"/>
      <c r="E124" s="80"/>
      <c r="F124" s="80"/>
      <c r="I124" s="524"/>
      <c r="J124" s="524"/>
      <c r="K124" s="524"/>
      <c r="L124" s="524"/>
      <c r="M124" s="524"/>
      <c r="N124" s="524"/>
      <c r="O124" s="524"/>
      <c r="P124" s="524"/>
      <c r="Q124" s="524"/>
      <c r="R124" s="524"/>
      <c r="S124" s="524"/>
      <c r="T124" s="524"/>
      <c r="U124" s="524"/>
      <c r="V124" s="524"/>
      <c r="W124" s="524"/>
      <c r="X124" s="524"/>
      <c r="Y124" s="524"/>
      <c r="Z124" s="524"/>
      <c r="AB124" s="393">
        <v>0</v>
      </c>
      <c r="AC124" s="393"/>
      <c r="AD124" s="393"/>
      <c r="AE124" s="393"/>
      <c r="AF124" s="11"/>
      <c r="AG124" s="410">
        <v>0</v>
      </c>
      <c r="AH124" s="410"/>
      <c r="AI124" s="410"/>
      <c r="AJ124" s="410"/>
    </row>
    <row r="125" spans="1:42" ht="20.25" customHeight="1" x14ac:dyDescent="0.45">
      <c r="B125" s="80"/>
      <c r="C125" s="80"/>
      <c r="D125" s="80"/>
      <c r="E125" s="80"/>
      <c r="F125" s="80"/>
    </row>
    <row r="126" spans="1:42" ht="27.75" customHeight="1" x14ac:dyDescent="0.45">
      <c r="A126" s="11"/>
      <c r="B126" s="80" t="s">
        <v>248</v>
      </c>
      <c r="C126" s="80"/>
      <c r="D126" s="81"/>
      <c r="E126" s="81"/>
      <c r="F126" s="82"/>
      <c r="G126" s="83"/>
      <c r="H126" s="83"/>
      <c r="I126" s="351"/>
      <c r="J126" s="351"/>
      <c r="K126" s="351"/>
      <c r="L126" s="351"/>
      <c r="M126" s="351"/>
      <c r="N126" s="351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  <c r="AA126" s="11"/>
      <c r="AB126" s="393">
        <v>0</v>
      </c>
      <c r="AC126" s="393"/>
      <c r="AD126" s="393"/>
      <c r="AE126" s="393"/>
      <c r="AF126" s="11"/>
      <c r="AG126" s="410">
        <v>0</v>
      </c>
      <c r="AH126" s="410"/>
      <c r="AI126" s="410"/>
      <c r="AJ126" s="410"/>
    </row>
    <row r="127" spans="1:42" ht="20.25" customHeight="1" x14ac:dyDescent="0.45">
      <c r="B127" s="80"/>
      <c r="C127" s="80"/>
      <c r="D127" s="80"/>
      <c r="E127" s="80"/>
      <c r="F127" s="80"/>
    </row>
    <row r="128" spans="1:42" ht="27.75" customHeight="1" x14ac:dyDescent="0.45">
      <c r="A128" s="11"/>
      <c r="B128" s="80" t="s">
        <v>249</v>
      </c>
      <c r="C128" s="80"/>
      <c r="D128" s="81"/>
      <c r="E128" s="81"/>
      <c r="F128" s="82"/>
      <c r="G128" s="83"/>
      <c r="H128" s="83"/>
      <c r="I128" s="351"/>
      <c r="J128" s="351"/>
      <c r="K128" s="351"/>
      <c r="L128" s="351"/>
      <c r="M128" s="351"/>
      <c r="N128" s="351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  <c r="AA128" s="11"/>
      <c r="AB128" s="393">
        <v>0</v>
      </c>
      <c r="AC128" s="393"/>
      <c r="AD128" s="393"/>
      <c r="AE128" s="393"/>
      <c r="AF128" s="11"/>
      <c r="AG128" s="410">
        <v>0</v>
      </c>
      <c r="AH128" s="410"/>
      <c r="AI128" s="410"/>
      <c r="AJ128" s="410"/>
    </row>
    <row r="129" spans="1:41" ht="20.25" customHeight="1" x14ac:dyDescent="0.45">
      <c r="B129" s="80"/>
      <c r="C129" s="80"/>
      <c r="D129" s="80"/>
      <c r="E129" s="80"/>
      <c r="F129" s="80"/>
    </row>
    <row r="130" spans="1:41" ht="27.75" customHeight="1" x14ac:dyDescent="0.45">
      <c r="A130" s="11"/>
      <c r="B130" s="80" t="s">
        <v>250</v>
      </c>
      <c r="C130" s="80"/>
      <c r="D130" s="81"/>
      <c r="E130" s="81"/>
      <c r="F130" s="82"/>
      <c r="G130" s="83"/>
      <c r="H130" s="83"/>
      <c r="I130" s="83"/>
      <c r="J130" s="83"/>
      <c r="K130" s="85"/>
      <c r="L130" s="523"/>
      <c r="M130" s="523"/>
      <c r="N130" s="523"/>
      <c r="O130" s="523"/>
      <c r="P130" s="523"/>
      <c r="Q130" s="523"/>
      <c r="R130" s="523"/>
      <c r="S130" s="523"/>
      <c r="T130" s="523"/>
      <c r="U130" s="523"/>
      <c r="V130" s="523"/>
      <c r="W130" s="523"/>
      <c r="X130" s="523"/>
      <c r="Y130" s="523"/>
      <c r="Z130" s="523"/>
      <c r="AA130" s="11"/>
      <c r="AB130" s="393">
        <v>0</v>
      </c>
      <c r="AC130" s="393"/>
      <c r="AD130" s="393"/>
      <c r="AE130" s="393"/>
      <c r="AF130" s="11"/>
      <c r="AG130" s="410">
        <v>0</v>
      </c>
      <c r="AH130" s="410"/>
      <c r="AI130" s="410"/>
      <c r="AJ130" s="410"/>
    </row>
    <row r="131" spans="1:41" ht="20.25" customHeight="1" x14ac:dyDescent="0.45">
      <c r="B131" s="80"/>
      <c r="C131" s="80"/>
      <c r="D131" s="80"/>
      <c r="E131" s="80"/>
      <c r="F131" s="80"/>
    </row>
    <row r="132" spans="1:41" ht="27.75" customHeight="1" x14ac:dyDescent="0.45">
      <c r="A132" s="11"/>
      <c r="B132" s="80" t="s">
        <v>251</v>
      </c>
      <c r="C132" s="80"/>
      <c r="D132" s="81"/>
      <c r="E132" s="81"/>
      <c r="F132" s="82"/>
      <c r="G132" s="83"/>
      <c r="H132" s="83"/>
      <c r="I132" s="83"/>
      <c r="J132" s="83"/>
      <c r="K132" s="85"/>
      <c r="L132" s="84"/>
      <c r="M132" s="523"/>
      <c r="N132" s="523"/>
      <c r="O132" s="523"/>
      <c r="P132" s="523"/>
      <c r="Q132" s="523"/>
      <c r="R132" s="523"/>
      <c r="S132" s="523"/>
      <c r="T132" s="523"/>
      <c r="U132" s="523"/>
      <c r="V132" s="523"/>
      <c r="W132" s="523"/>
      <c r="X132" s="523"/>
      <c r="Y132" s="523"/>
      <c r="Z132" s="523"/>
      <c r="AA132" s="11"/>
      <c r="AB132" s="393">
        <v>0</v>
      </c>
      <c r="AC132" s="393"/>
      <c r="AD132" s="393"/>
      <c r="AE132" s="393"/>
      <c r="AF132" s="11"/>
      <c r="AG132" s="410">
        <v>0</v>
      </c>
      <c r="AH132" s="410"/>
      <c r="AI132" s="410"/>
      <c r="AJ132" s="410"/>
    </row>
    <row r="133" spans="1:41" ht="20.25" customHeight="1" x14ac:dyDescent="0.45">
      <c r="B133" s="80"/>
      <c r="C133" s="80"/>
      <c r="D133" s="80"/>
      <c r="E133" s="80"/>
      <c r="F133" s="80"/>
    </row>
    <row r="134" spans="1:41" ht="27.75" customHeight="1" x14ac:dyDescent="0.45">
      <c r="A134" s="11"/>
      <c r="B134" s="80" t="s">
        <v>252</v>
      </c>
      <c r="C134" s="80"/>
      <c r="D134" s="81"/>
      <c r="E134" s="81"/>
      <c r="F134" s="82"/>
      <c r="G134" s="83"/>
      <c r="H134" s="83"/>
      <c r="I134" s="351"/>
      <c r="J134" s="351"/>
      <c r="K134" s="351"/>
      <c r="L134" s="351"/>
      <c r="M134" s="351"/>
      <c r="N134" s="351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  <c r="AA134" s="11"/>
      <c r="AB134" s="393">
        <v>0</v>
      </c>
      <c r="AC134" s="393"/>
      <c r="AD134" s="393"/>
      <c r="AE134" s="393"/>
      <c r="AF134" s="11"/>
      <c r="AG134" s="410">
        <v>0</v>
      </c>
      <c r="AH134" s="410"/>
      <c r="AI134" s="410"/>
      <c r="AJ134" s="410"/>
    </row>
    <row r="135" spans="1:41" ht="27.75" customHeight="1" x14ac:dyDescent="0.45">
      <c r="B135" s="80"/>
      <c r="C135" s="80"/>
      <c r="D135" s="80"/>
      <c r="E135" s="80"/>
      <c r="F135" s="80"/>
      <c r="AB135" s="393">
        <v>0</v>
      </c>
      <c r="AC135" s="393"/>
      <c r="AD135" s="393"/>
      <c r="AE135" s="393"/>
      <c r="AF135" s="11"/>
      <c r="AG135" s="410">
        <v>0</v>
      </c>
      <c r="AH135" s="410"/>
      <c r="AI135" s="410"/>
      <c r="AJ135" s="410"/>
    </row>
    <row r="136" spans="1:41" ht="27.75" customHeight="1" x14ac:dyDescent="0.25">
      <c r="A136" s="11"/>
      <c r="B136" s="525" t="s">
        <v>194</v>
      </c>
      <c r="C136" s="525"/>
      <c r="D136" s="525"/>
      <c r="E136" s="525"/>
      <c r="F136" s="526"/>
      <c r="G136" s="526"/>
      <c r="H136" s="526"/>
      <c r="I136" s="526"/>
      <c r="J136" s="526"/>
      <c r="K136" s="526"/>
      <c r="L136" s="525"/>
      <c r="M136" s="525"/>
      <c r="N136" s="525"/>
      <c r="O136" s="525"/>
      <c r="P136" s="526"/>
      <c r="Q136" s="526"/>
      <c r="R136" s="526"/>
      <c r="S136" s="526"/>
      <c r="T136" s="526"/>
      <c r="U136" s="526"/>
      <c r="V136" s="86"/>
      <c r="W136" s="87"/>
      <c r="X136" s="87"/>
      <c r="Y136" s="87"/>
      <c r="Z136" s="87"/>
      <c r="AA136" s="11"/>
      <c r="AB136" s="555">
        <v>0</v>
      </c>
      <c r="AC136" s="555"/>
      <c r="AD136" s="555"/>
      <c r="AE136" s="555"/>
      <c r="AG136" s="537">
        <v>0</v>
      </c>
      <c r="AH136" s="537"/>
      <c r="AI136" s="537"/>
      <c r="AJ136" s="537"/>
    </row>
    <row r="137" spans="1:41" ht="27.75" customHeight="1" x14ac:dyDescent="0.25">
      <c r="B137" s="315" t="s">
        <v>254</v>
      </c>
      <c r="C137" s="315"/>
      <c r="D137" s="315"/>
      <c r="E137" s="315"/>
      <c r="F137" s="352">
        <f>(AB138-AB132-AB130-AB124)/I45</f>
        <v>0</v>
      </c>
      <c r="G137" s="352"/>
      <c r="H137" s="352"/>
      <c r="I137" s="352"/>
      <c r="J137" s="352"/>
      <c r="K137" s="352"/>
      <c r="L137" s="527" t="s">
        <v>256</v>
      </c>
      <c r="M137" s="458"/>
      <c r="N137" s="458"/>
      <c r="O137" s="458"/>
      <c r="P137" s="352">
        <f>AB132/I45</f>
        <v>0</v>
      </c>
      <c r="Q137" s="352"/>
      <c r="R137" s="352"/>
      <c r="S137" s="352"/>
      <c r="T137" s="352"/>
      <c r="U137" s="352"/>
      <c r="V137" s="88"/>
      <c r="W137" s="33"/>
      <c r="X137" s="33"/>
      <c r="Y137" s="33"/>
      <c r="Z137" s="33"/>
    </row>
    <row r="138" spans="1:41" ht="27.75" customHeight="1" x14ac:dyDescent="0.25">
      <c r="B138" s="315" t="s">
        <v>255</v>
      </c>
      <c r="C138" s="315"/>
      <c r="D138" s="315"/>
      <c r="E138" s="315"/>
      <c r="F138" s="352">
        <f>AB124/I45</f>
        <v>0</v>
      </c>
      <c r="G138" s="352"/>
      <c r="H138" s="352"/>
      <c r="I138" s="352"/>
      <c r="J138" s="352"/>
      <c r="K138" s="352"/>
      <c r="L138" s="308" t="s">
        <v>257</v>
      </c>
      <c r="M138" s="315"/>
      <c r="N138" s="315"/>
      <c r="O138" s="315"/>
      <c r="P138" s="352">
        <f>AB130/I45</f>
        <v>0</v>
      </c>
      <c r="Q138" s="352"/>
      <c r="R138" s="352"/>
      <c r="S138" s="352"/>
      <c r="T138" s="352"/>
      <c r="U138" s="352"/>
      <c r="Z138" s="89" t="s">
        <v>5</v>
      </c>
      <c r="AB138" s="509">
        <f>SUM(AB122:AE136)</f>
        <v>0</v>
      </c>
      <c r="AC138" s="509"/>
      <c r="AD138" s="509"/>
      <c r="AE138" s="509"/>
      <c r="AG138" s="510">
        <f>SUM(AG122:AJ136)</f>
        <v>0</v>
      </c>
      <c r="AH138" s="510"/>
      <c r="AI138" s="510"/>
      <c r="AJ138" s="510"/>
    </row>
    <row r="139" spans="1:41" ht="12.75" customHeight="1" thickBot="1" x14ac:dyDescent="0.3">
      <c r="AO139" s="34"/>
    </row>
    <row r="140" spans="1:41" ht="30.75" customHeight="1" thickBot="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AD140" s="98" t="s">
        <v>237</v>
      </c>
      <c r="AE140" s="552">
        <f>AG138+AB138</f>
        <v>0</v>
      </c>
      <c r="AF140" s="553"/>
      <c r="AG140" s="553"/>
      <c r="AH140" s="553"/>
      <c r="AI140" s="553"/>
      <c r="AJ140" s="554"/>
    </row>
    <row r="141" spans="1:41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41" x14ac:dyDescent="0.25">
      <c r="A142" s="73" t="s">
        <v>388</v>
      </c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571" t="s">
        <v>240</v>
      </c>
      <c r="AA142" s="571"/>
      <c r="AB142" s="571"/>
      <c r="AC142" s="571"/>
      <c r="AD142" s="571"/>
      <c r="AE142" s="571"/>
      <c r="AF142" s="571"/>
      <c r="AG142" s="571"/>
      <c r="AH142" s="571"/>
      <c r="AI142" s="571"/>
      <c r="AJ142" s="571"/>
      <c r="AK142" s="572"/>
    </row>
    <row r="143" spans="1:41" ht="7.5" customHeight="1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41" ht="16.5" customHeight="1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06" t="s">
        <v>147</v>
      </c>
      <c r="M144" s="307"/>
      <c r="N144" s="307"/>
      <c r="O144" s="307"/>
      <c r="P144" s="307"/>
      <c r="Q144" s="307"/>
      <c r="R144" s="308"/>
      <c r="S144" s="306" t="s">
        <v>13</v>
      </c>
      <c r="T144" s="307"/>
      <c r="U144" s="307"/>
      <c r="V144" s="307"/>
      <c r="W144" s="307"/>
      <c r="X144" s="307"/>
      <c r="Y144" s="308"/>
      <c r="Z144" s="315" t="s">
        <v>148</v>
      </c>
      <c r="AA144" s="315"/>
      <c r="AB144" s="315"/>
      <c r="AC144" s="315"/>
      <c r="AE144" s="315" t="s">
        <v>245</v>
      </c>
      <c r="AF144" s="315"/>
      <c r="AG144" s="315"/>
      <c r="AH144" s="315"/>
      <c r="AI144" s="315"/>
      <c r="AJ144" s="315"/>
    </row>
    <row r="145" spans="1:36" ht="13.5" customHeight="1" x14ac:dyDescent="0.25">
      <c r="B145" s="528" t="s">
        <v>149</v>
      </c>
      <c r="C145" s="529"/>
      <c r="D145" s="529"/>
      <c r="E145" s="529"/>
      <c r="F145" s="529"/>
      <c r="G145" s="529"/>
      <c r="H145" s="529"/>
      <c r="I145" s="529"/>
      <c r="J145" s="530"/>
      <c r="K145" s="106" t="s">
        <v>150</v>
      </c>
      <c r="L145" s="309"/>
      <c r="M145" s="309"/>
      <c r="N145" s="309"/>
      <c r="O145" s="309"/>
      <c r="P145" s="309"/>
      <c r="Q145" s="309"/>
      <c r="R145" s="309"/>
      <c r="S145" s="310"/>
      <c r="T145" s="310"/>
      <c r="U145" s="310"/>
      <c r="V145" s="310"/>
      <c r="W145" s="310"/>
      <c r="X145" s="310"/>
      <c r="Y145" s="311"/>
      <c r="Z145" s="677"/>
      <c r="AA145" s="678"/>
      <c r="AB145" s="678"/>
      <c r="AC145" s="678"/>
      <c r="AD145" s="90"/>
      <c r="AE145" s="535"/>
      <c r="AF145" s="535"/>
      <c r="AG145" s="535"/>
      <c r="AH145" s="535"/>
      <c r="AI145" s="535"/>
      <c r="AJ145" s="536"/>
    </row>
    <row r="146" spans="1:36" ht="13.5" customHeight="1" x14ac:dyDescent="0.25">
      <c r="B146" s="23"/>
      <c r="C146" s="550" t="s">
        <v>151</v>
      </c>
      <c r="D146" s="550"/>
      <c r="E146" s="550"/>
      <c r="F146" s="550"/>
      <c r="G146" s="550"/>
      <c r="H146" s="550"/>
      <c r="I146" s="550"/>
      <c r="J146" s="551"/>
      <c r="K146" s="107" t="b">
        <v>0</v>
      </c>
      <c r="L146" s="280"/>
      <c r="M146" s="281"/>
      <c r="N146" s="281"/>
      <c r="O146" s="281"/>
      <c r="P146" s="281"/>
      <c r="Q146" s="281"/>
      <c r="R146" s="282"/>
      <c r="S146" s="280"/>
      <c r="T146" s="281"/>
      <c r="U146" s="281"/>
      <c r="V146" s="281"/>
      <c r="W146" s="281"/>
      <c r="X146" s="281"/>
      <c r="Y146" s="282"/>
      <c r="Z146" s="531"/>
      <c r="AA146" s="532"/>
      <c r="AB146" s="532"/>
      <c r="AC146" s="532"/>
      <c r="AD146" s="30"/>
      <c r="AE146" s="533">
        <f>Z146*K146</f>
        <v>0</v>
      </c>
      <c r="AF146" s="533"/>
      <c r="AG146" s="533"/>
      <c r="AH146" s="533"/>
      <c r="AI146" s="533"/>
      <c r="AJ146" s="534"/>
    </row>
    <row r="147" spans="1:36" ht="13.5" customHeight="1" x14ac:dyDescent="0.25">
      <c r="B147" s="23"/>
      <c r="C147" s="550" t="s">
        <v>152</v>
      </c>
      <c r="D147" s="550"/>
      <c r="E147" s="550"/>
      <c r="F147" s="550"/>
      <c r="G147" s="550"/>
      <c r="H147" s="550"/>
      <c r="I147" s="550"/>
      <c r="J147" s="551"/>
      <c r="K147" s="107" t="b">
        <v>0</v>
      </c>
      <c r="L147" s="280"/>
      <c r="M147" s="281"/>
      <c r="N147" s="281"/>
      <c r="O147" s="281"/>
      <c r="P147" s="281"/>
      <c r="Q147" s="281"/>
      <c r="R147" s="282"/>
      <c r="S147" s="280"/>
      <c r="T147" s="281"/>
      <c r="U147" s="281"/>
      <c r="V147" s="281"/>
      <c r="W147" s="281"/>
      <c r="X147" s="281"/>
      <c r="Y147" s="282"/>
      <c r="Z147" s="531"/>
      <c r="AA147" s="532"/>
      <c r="AB147" s="532"/>
      <c r="AC147" s="532"/>
      <c r="AD147" s="30"/>
      <c r="AE147" s="533">
        <f>Z147*K147</f>
        <v>0</v>
      </c>
      <c r="AF147" s="533"/>
      <c r="AG147" s="533"/>
      <c r="AH147" s="533"/>
      <c r="AI147" s="533"/>
      <c r="AJ147" s="534"/>
    </row>
    <row r="148" spans="1:36" ht="13.5" customHeight="1" x14ac:dyDescent="0.25">
      <c r="B148" s="23"/>
      <c r="C148" s="548" t="s">
        <v>153</v>
      </c>
      <c r="D148" s="548"/>
      <c r="E148" s="548"/>
      <c r="F148" s="548"/>
      <c r="G148" s="548"/>
      <c r="H148" s="548"/>
      <c r="I148" s="548"/>
      <c r="J148" s="549"/>
      <c r="K148" s="108" t="b">
        <v>0</v>
      </c>
      <c r="L148" s="280"/>
      <c r="M148" s="281"/>
      <c r="N148" s="281"/>
      <c r="O148" s="281"/>
      <c r="P148" s="281"/>
      <c r="Q148" s="281"/>
      <c r="R148" s="282"/>
      <c r="S148" s="280"/>
      <c r="T148" s="281"/>
      <c r="U148" s="281"/>
      <c r="V148" s="281"/>
      <c r="W148" s="281"/>
      <c r="X148" s="281"/>
      <c r="Y148" s="282"/>
      <c r="Z148" s="531"/>
      <c r="AA148" s="532"/>
      <c r="AB148" s="532"/>
      <c r="AC148" s="532"/>
      <c r="AD148" s="30"/>
      <c r="AE148" s="533">
        <f>Z148*K148</f>
        <v>0</v>
      </c>
      <c r="AF148" s="533"/>
      <c r="AG148" s="533"/>
      <c r="AH148" s="533"/>
      <c r="AI148" s="533"/>
      <c r="AJ148" s="534"/>
    </row>
    <row r="149" spans="1:36" ht="13.5" customHeight="1" x14ac:dyDescent="0.25">
      <c r="A149" s="91"/>
      <c r="B149" s="543" t="s">
        <v>154</v>
      </c>
      <c r="C149" s="544"/>
      <c r="D149" s="544"/>
      <c r="E149" s="544"/>
      <c r="F149" s="544"/>
      <c r="G149" s="544"/>
      <c r="H149" s="544"/>
      <c r="I149" s="544"/>
      <c r="J149" s="545"/>
      <c r="K149" s="109" t="b">
        <v>0</v>
      </c>
      <c r="L149" s="280"/>
      <c r="M149" s="281"/>
      <c r="N149" s="281"/>
      <c r="O149" s="281"/>
      <c r="P149" s="281"/>
      <c r="Q149" s="281"/>
      <c r="R149" s="282"/>
      <c r="S149" s="280"/>
      <c r="T149" s="281"/>
      <c r="U149" s="281"/>
      <c r="V149" s="281"/>
      <c r="W149" s="281"/>
      <c r="X149" s="281"/>
      <c r="Y149" s="282"/>
      <c r="Z149" s="531"/>
      <c r="AA149" s="532"/>
      <c r="AB149" s="532"/>
      <c r="AC149" s="532"/>
      <c r="AD149" s="30"/>
      <c r="AE149" s="533">
        <f>Z149*K149</f>
        <v>0</v>
      </c>
      <c r="AF149" s="533"/>
      <c r="AG149" s="533"/>
      <c r="AH149" s="533"/>
      <c r="AI149" s="533"/>
      <c r="AJ149" s="534"/>
    </row>
    <row r="150" spans="1:36" ht="13.5" customHeight="1" x14ac:dyDescent="0.25">
      <c r="A150" s="91"/>
      <c r="B150" s="543" t="s">
        <v>155</v>
      </c>
      <c r="C150" s="544"/>
      <c r="D150" s="544"/>
      <c r="E150" s="544"/>
      <c r="F150" s="544"/>
      <c r="G150" s="544"/>
      <c r="H150" s="544"/>
      <c r="I150" s="544"/>
      <c r="J150" s="545"/>
      <c r="K150" s="109" t="b">
        <v>0</v>
      </c>
      <c r="L150" s="280"/>
      <c r="M150" s="281"/>
      <c r="N150" s="281"/>
      <c r="O150" s="281"/>
      <c r="P150" s="281"/>
      <c r="Q150" s="281"/>
      <c r="R150" s="282"/>
      <c r="S150" s="280"/>
      <c r="T150" s="281"/>
      <c r="U150" s="281"/>
      <c r="V150" s="281"/>
      <c r="W150" s="281"/>
      <c r="X150" s="281"/>
      <c r="Y150" s="282"/>
      <c r="Z150" s="531"/>
      <c r="AA150" s="532"/>
      <c r="AB150" s="532"/>
      <c r="AC150" s="532"/>
      <c r="AD150" s="30"/>
      <c r="AE150" s="533">
        <f>Z150*K150</f>
        <v>0</v>
      </c>
      <c r="AF150" s="533"/>
      <c r="AG150" s="533"/>
      <c r="AH150" s="533"/>
      <c r="AI150" s="533"/>
      <c r="AJ150" s="534"/>
    </row>
    <row r="151" spans="1:36" ht="13.5" customHeight="1" x14ac:dyDescent="0.25">
      <c r="A151" s="1"/>
      <c r="B151" s="92" t="s">
        <v>156</v>
      </c>
      <c r="C151" s="93"/>
      <c r="D151" s="93"/>
      <c r="E151" s="93"/>
      <c r="F151" s="93"/>
      <c r="G151" s="93"/>
      <c r="H151" s="93"/>
      <c r="I151" s="93"/>
      <c r="J151" s="93"/>
      <c r="K151" s="110"/>
      <c r="L151" s="280"/>
      <c r="M151" s="281"/>
      <c r="N151" s="281"/>
      <c r="O151" s="281"/>
      <c r="P151" s="281"/>
      <c r="Q151" s="281"/>
      <c r="R151" s="282"/>
      <c r="S151" s="280"/>
      <c r="T151" s="281"/>
      <c r="U151" s="281"/>
      <c r="V151" s="281"/>
      <c r="W151" s="281"/>
      <c r="X151" s="281"/>
      <c r="Y151" s="282"/>
      <c r="Z151" s="531"/>
      <c r="AA151" s="532"/>
      <c r="AB151" s="532"/>
      <c r="AC151" s="532"/>
      <c r="AD151" s="30"/>
      <c r="AE151" s="533"/>
      <c r="AF151" s="533"/>
      <c r="AG151" s="533"/>
      <c r="AH151" s="533"/>
      <c r="AI151" s="533"/>
      <c r="AJ151" s="534"/>
    </row>
    <row r="152" spans="1:36" ht="13.5" customHeight="1" x14ac:dyDescent="0.25">
      <c r="B152" s="23"/>
      <c r="C152" s="550" t="s">
        <v>157</v>
      </c>
      <c r="D152" s="550"/>
      <c r="E152" s="550"/>
      <c r="F152" s="550"/>
      <c r="G152" s="550"/>
      <c r="H152" s="550"/>
      <c r="I152" s="550"/>
      <c r="J152" s="551"/>
      <c r="K152" s="107" t="b">
        <v>0</v>
      </c>
      <c r="L152" s="280"/>
      <c r="M152" s="281"/>
      <c r="N152" s="281"/>
      <c r="O152" s="281"/>
      <c r="P152" s="281"/>
      <c r="Q152" s="281"/>
      <c r="R152" s="282"/>
      <c r="S152" s="280"/>
      <c r="T152" s="281"/>
      <c r="U152" s="281"/>
      <c r="V152" s="281"/>
      <c r="W152" s="281"/>
      <c r="X152" s="281"/>
      <c r="Y152" s="282"/>
      <c r="Z152" s="531"/>
      <c r="AA152" s="532"/>
      <c r="AB152" s="532"/>
      <c r="AC152" s="532"/>
      <c r="AD152" s="30"/>
      <c r="AE152" s="533">
        <f>Z152*K152</f>
        <v>0</v>
      </c>
      <c r="AF152" s="533"/>
      <c r="AG152" s="533"/>
      <c r="AH152" s="533"/>
      <c r="AI152" s="533"/>
      <c r="AJ152" s="534"/>
    </row>
    <row r="153" spans="1:36" ht="13.5" customHeight="1" x14ac:dyDescent="0.25">
      <c r="B153" s="23"/>
      <c r="C153" s="550" t="s">
        <v>158</v>
      </c>
      <c r="D153" s="550"/>
      <c r="E153" s="550"/>
      <c r="F153" s="550"/>
      <c r="G153" s="550"/>
      <c r="H153" s="550"/>
      <c r="I153" s="550"/>
      <c r="J153" s="551"/>
      <c r="K153" s="108" t="b">
        <v>0</v>
      </c>
      <c r="L153" s="280"/>
      <c r="M153" s="281"/>
      <c r="N153" s="281"/>
      <c r="O153" s="281"/>
      <c r="P153" s="281"/>
      <c r="Q153" s="281"/>
      <c r="R153" s="282"/>
      <c r="S153" s="280"/>
      <c r="T153" s="281"/>
      <c r="U153" s="281"/>
      <c r="V153" s="281"/>
      <c r="W153" s="281"/>
      <c r="X153" s="281"/>
      <c r="Y153" s="282"/>
      <c r="Z153" s="531"/>
      <c r="AA153" s="532"/>
      <c r="AB153" s="532"/>
      <c r="AC153" s="532"/>
      <c r="AD153" s="30"/>
      <c r="AE153" s="533">
        <f>Z153*K153</f>
        <v>0</v>
      </c>
      <c r="AF153" s="533"/>
      <c r="AG153" s="533"/>
      <c r="AH153" s="533"/>
      <c r="AI153" s="533"/>
      <c r="AJ153" s="534"/>
    </row>
    <row r="154" spans="1:36" ht="13.5" customHeight="1" x14ac:dyDescent="0.25">
      <c r="A154" s="91"/>
      <c r="B154" s="543" t="s">
        <v>159</v>
      </c>
      <c r="C154" s="544"/>
      <c r="D154" s="544"/>
      <c r="E154" s="544"/>
      <c r="F154" s="544"/>
      <c r="G154" s="544"/>
      <c r="H154" s="544"/>
      <c r="I154" s="544"/>
      <c r="J154" s="545"/>
      <c r="K154" s="109" t="b">
        <v>0</v>
      </c>
      <c r="L154" s="280"/>
      <c r="M154" s="281"/>
      <c r="N154" s="281"/>
      <c r="O154" s="281"/>
      <c r="P154" s="281"/>
      <c r="Q154" s="281"/>
      <c r="R154" s="282"/>
      <c r="S154" s="280"/>
      <c r="T154" s="281"/>
      <c r="U154" s="281"/>
      <c r="V154" s="281"/>
      <c r="W154" s="281"/>
      <c r="X154" s="281"/>
      <c r="Y154" s="282"/>
      <c r="Z154" s="531"/>
      <c r="AA154" s="532"/>
      <c r="AB154" s="532"/>
      <c r="AC154" s="532"/>
      <c r="AD154" s="30"/>
      <c r="AE154" s="533">
        <v>0</v>
      </c>
      <c r="AF154" s="533"/>
      <c r="AG154" s="533"/>
      <c r="AH154" s="533"/>
      <c r="AI154" s="533"/>
      <c r="AJ154" s="534"/>
    </row>
    <row r="155" spans="1:36" ht="13.5" customHeight="1" x14ac:dyDescent="0.25">
      <c r="A155" s="1"/>
      <c r="B155" s="92" t="s">
        <v>160</v>
      </c>
      <c r="C155" s="93"/>
      <c r="D155" s="93"/>
      <c r="E155" s="93"/>
      <c r="F155" s="93"/>
      <c r="G155" s="93"/>
      <c r="H155" s="93"/>
      <c r="I155" s="93"/>
      <c r="J155" s="93"/>
      <c r="K155" s="110"/>
      <c r="L155" s="280"/>
      <c r="M155" s="281"/>
      <c r="N155" s="281"/>
      <c r="O155" s="281"/>
      <c r="P155" s="281"/>
      <c r="Q155" s="281"/>
      <c r="R155" s="282"/>
      <c r="S155" s="280"/>
      <c r="T155" s="281"/>
      <c r="U155" s="281"/>
      <c r="V155" s="281"/>
      <c r="W155" s="281"/>
      <c r="X155" s="281"/>
      <c r="Y155" s="282"/>
      <c r="Z155" s="531"/>
      <c r="AA155" s="532"/>
      <c r="AB155" s="532"/>
      <c r="AC155" s="532"/>
      <c r="AD155" s="30"/>
      <c r="AE155" s="533"/>
      <c r="AF155" s="533"/>
      <c r="AG155" s="533"/>
      <c r="AH155" s="533"/>
      <c r="AI155" s="533"/>
      <c r="AJ155" s="534"/>
    </row>
    <row r="156" spans="1:36" ht="13.5" customHeight="1" x14ac:dyDescent="0.25">
      <c r="B156" s="23"/>
      <c r="C156" s="550" t="s">
        <v>161</v>
      </c>
      <c r="D156" s="550"/>
      <c r="E156" s="550"/>
      <c r="F156" s="550"/>
      <c r="G156" s="550"/>
      <c r="H156" s="550"/>
      <c r="I156" s="550"/>
      <c r="J156" s="551"/>
      <c r="K156" s="107" t="b">
        <v>0</v>
      </c>
      <c r="L156" s="280"/>
      <c r="M156" s="281"/>
      <c r="N156" s="281"/>
      <c r="O156" s="281"/>
      <c r="P156" s="281"/>
      <c r="Q156" s="281"/>
      <c r="R156" s="282"/>
      <c r="S156" s="280"/>
      <c r="T156" s="281"/>
      <c r="U156" s="281"/>
      <c r="V156" s="281"/>
      <c r="W156" s="281"/>
      <c r="X156" s="281"/>
      <c r="Y156" s="282"/>
      <c r="Z156" s="531"/>
      <c r="AA156" s="532"/>
      <c r="AB156" s="532"/>
      <c r="AC156" s="532"/>
      <c r="AD156" s="30"/>
      <c r="AE156" s="533">
        <f>Z156*K156</f>
        <v>0</v>
      </c>
      <c r="AF156" s="533"/>
      <c r="AG156" s="533"/>
      <c r="AH156" s="533"/>
      <c r="AI156" s="533"/>
      <c r="AJ156" s="534"/>
    </row>
    <row r="157" spans="1:36" ht="13.5" customHeight="1" x14ac:dyDescent="0.25">
      <c r="B157" s="23"/>
      <c r="C157" s="550" t="s">
        <v>162</v>
      </c>
      <c r="D157" s="550"/>
      <c r="E157" s="550"/>
      <c r="F157" s="550"/>
      <c r="G157" s="550"/>
      <c r="H157" s="550"/>
      <c r="I157" s="550"/>
      <c r="J157" s="551"/>
      <c r="K157" s="107" t="b">
        <v>0</v>
      </c>
      <c r="L157" s="280"/>
      <c r="M157" s="281"/>
      <c r="N157" s="281"/>
      <c r="O157" s="281"/>
      <c r="P157" s="281"/>
      <c r="Q157" s="281"/>
      <c r="R157" s="282"/>
      <c r="S157" s="280"/>
      <c r="T157" s="281"/>
      <c r="U157" s="281"/>
      <c r="V157" s="281"/>
      <c r="W157" s="281"/>
      <c r="X157" s="281"/>
      <c r="Y157" s="282"/>
      <c r="Z157" s="531"/>
      <c r="AA157" s="532"/>
      <c r="AB157" s="532"/>
      <c r="AC157" s="532"/>
      <c r="AD157" s="30"/>
      <c r="AE157" s="533">
        <f>Z157*K157</f>
        <v>0</v>
      </c>
      <c r="AF157" s="533"/>
      <c r="AG157" s="533"/>
      <c r="AH157" s="533"/>
      <c r="AI157" s="533"/>
      <c r="AJ157" s="534"/>
    </row>
    <row r="158" spans="1:36" ht="13.5" customHeight="1" x14ac:dyDescent="0.25">
      <c r="B158" s="23"/>
      <c r="C158" s="550" t="s">
        <v>163</v>
      </c>
      <c r="D158" s="550"/>
      <c r="E158" s="550"/>
      <c r="F158" s="550"/>
      <c r="G158" s="550"/>
      <c r="H158" s="550"/>
      <c r="I158" s="550"/>
      <c r="J158" s="551"/>
      <c r="K158" s="108" t="b">
        <v>0</v>
      </c>
      <c r="L158" s="280"/>
      <c r="M158" s="281"/>
      <c r="N158" s="281"/>
      <c r="O158" s="281"/>
      <c r="P158" s="281"/>
      <c r="Q158" s="281"/>
      <c r="R158" s="282"/>
      <c r="S158" s="280"/>
      <c r="T158" s="281"/>
      <c r="U158" s="281"/>
      <c r="V158" s="281"/>
      <c r="W158" s="281"/>
      <c r="X158" s="281"/>
      <c r="Y158" s="282"/>
      <c r="Z158" s="531"/>
      <c r="AA158" s="532"/>
      <c r="AB158" s="532"/>
      <c r="AC158" s="532"/>
      <c r="AD158" s="30"/>
      <c r="AE158" s="533">
        <f>Z158*K158</f>
        <v>0</v>
      </c>
      <c r="AF158" s="533"/>
      <c r="AG158" s="533"/>
      <c r="AH158" s="533"/>
      <c r="AI158" s="533"/>
      <c r="AJ158" s="534"/>
    </row>
    <row r="159" spans="1:36" ht="13.5" customHeight="1" x14ac:dyDescent="0.25">
      <c r="A159" s="1"/>
      <c r="B159" s="94" t="s">
        <v>164</v>
      </c>
      <c r="C159" s="95"/>
      <c r="D159" s="95"/>
      <c r="E159" s="95"/>
      <c r="F159" s="95"/>
      <c r="G159" s="95"/>
      <c r="H159" s="95"/>
      <c r="I159" s="95"/>
      <c r="J159" s="95"/>
      <c r="K159" s="111"/>
      <c r="L159" s="280"/>
      <c r="M159" s="281"/>
      <c r="N159" s="281"/>
      <c r="O159" s="281"/>
      <c r="P159" s="281"/>
      <c r="Q159" s="281"/>
      <c r="R159" s="282"/>
      <c r="S159" s="280"/>
      <c r="T159" s="281"/>
      <c r="U159" s="281"/>
      <c r="V159" s="281"/>
      <c r="W159" s="281"/>
      <c r="X159" s="281"/>
      <c r="Y159" s="282"/>
      <c r="Z159" s="531"/>
      <c r="AA159" s="532"/>
      <c r="AB159" s="532"/>
      <c r="AC159" s="532"/>
      <c r="AD159" s="30"/>
      <c r="AE159" s="533"/>
      <c r="AF159" s="533"/>
      <c r="AG159" s="533"/>
      <c r="AH159" s="533"/>
      <c r="AI159" s="533"/>
      <c r="AJ159" s="534"/>
    </row>
    <row r="160" spans="1:36" ht="13.5" customHeight="1" x14ac:dyDescent="0.25">
      <c r="B160" s="23"/>
      <c r="C160" s="550" t="s">
        <v>165</v>
      </c>
      <c r="D160" s="550"/>
      <c r="E160" s="550"/>
      <c r="F160" s="550"/>
      <c r="G160" s="550"/>
      <c r="H160" s="550"/>
      <c r="I160" s="550"/>
      <c r="J160" s="551"/>
      <c r="K160" s="107" t="b">
        <v>0</v>
      </c>
      <c r="L160" s="280"/>
      <c r="M160" s="281"/>
      <c r="N160" s="281"/>
      <c r="O160" s="281"/>
      <c r="P160" s="281"/>
      <c r="Q160" s="281"/>
      <c r="R160" s="282"/>
      <c r="S160" s="280"/>
      <c r="T160" s="281"/>
      <c r="U160" s="281"/>
      <c r="V160" s="281"/>
      <c r="W160" s="281"/>
      <c r="X160" s="281"/>
      <c r="Y160" s="282"/>
      <c r="Z160" s="531"/>
      <c r="AA160" s="532"/>
      <c r="AB160" s="532"/>
      <c r="AC160" s="532"/>
      <c r="AD160" s="30"/>
      <c r="AE160" s="533">
        <f>Z160*K160</f>
        <v>0</v>
      </c>
      <c r="AF160" s="533"/>
      <c r="AG160" s="533"/>
      <c r="AH160" s="533"/>
      <c r="AI160" s="533"/>
      <c r="AJ160" s="534"/>
    </row>
    <row r="161" spans="1:36" ht="13.5" customHeight="1" x14ac:dyDescent="0.25">
      <c r="B161" s="23"/>
      <c r="C161" s="550" t="s">
        <v>166</v>
      </c>
      <c r="D161" s="550"/>
      <c r="E161" s="550"/>
      <c r="F161" s="550"/>
      <c r="G161" s="550"/>
      <c r="H161" s="550"/>
      <c r="I161" s="550"/>
      <c r="J161" s="551"/>
      <c r="K161" s="107" t="b">
        <v>0</v>
      </c>
      <c r="L161" s="280"/>
      <c r="M161" s="281"/>
      <c r="N161" s="281"/>
      <c r="O161" s="281"/>
      <c r="P161" s="281"/>
      <c r="Q161" s="281"/>
      <c r="R161" s="282"/>
      <c r="S161" s="280"/>
      <c r="T161" s="281"/>
      <c r="U161" s="281"/>
      <c r="V161" s="281"/>
      <c r="W161" s="281"/>
      <c r="X161" s="281"/>
      <c r="Y161" s="282"/>
      <c r="Z161" s="531"/>
      <c r="AA161" s="532"/>
      <c r="AB161" s="532"/>
      <c r="AC161" s="532"/>
      <c r="AD161" s="30"/>
      <c r="AE161" s="533">
        <f>Z161*K161</f>
        <v>0</v>
      </c>
      <c r="AF161" s="533"/>
      <c r="AG161" s="533"/>
      <c r="AH161" s="533"/>
      <c r="AI161" s="533"/>
      <c r="AJ161" s="534"/>
    </row>
    <row r="162" spans="1:36" ht="13.5" customHeight="1" x14ac:dyDescent="0.25">
      <c r="B162" s="23"/>
      <c r="C162" s="550" t="s">
        <v>167</v>
      </c>
      <c r="D162" s="550"/>
      <c r="E162" s="550"/>
      <c r="F162" s="550"/>
      <c r="G162" s="550"/>
      <c r="H162" s="550"/>
      <c r="I162" s="550"/>
      <c r="J162" s="551"/>
      <c r="K162" s="107" t="b">
        <v>0</v>
      </c>
      <c r="L162" s="280"/>
      <c r="M162" s="281"/>
      <c r="N162" s="281"/>
      <c r="O162" s="281"/>
      <c r="P162" s="281"/>
      <c r="Q162" s="281"/>
      <c r="R162" s="282"/>
      <c r="S162" s="280"/>
      <c r="T162" s="281"/>
      <c r="U162" s="281"/>
      <c r="V162" s="281"/>
      <c r="W162" s="281"/>
      <c r="X162" s="281"/>
      <c r="Y162" s="282"/>
      <c r="Z162" s="531"/>
      <c r="AA162" s="532"/>
      <c r="AB162" s="532"/>
      <c r="AC162" s="532"/>
      <c r="AD162" s="30"/>
      <c r="AE162" s="533">
        <f>Z162*K162</f>
        <v>0</v>
      </c>
      <c r="AF162" s="533"/>
      <c r="AG162" s="533"/>
      <c r="AH162" s="533"/>
      <c r="AI162" s="533"/>
      <c r="AJ162" s="534"/>
    </row>
    <row r="163" spans="1:36" ht="13.5" customHeight="1" x14ac:dyDescent="0.25">
      <c r="B163" s="23"/>
      <c r="C163" s="550" t="s">
        <v>168</v>
      </c>
      <c r="D163" s="550"/>
      <c r="E163" s="550"/>
      <c r="F163" s="550"/>
      <c r="G163" s="550"/>
      <c r="H163" s="550"/>
      <c r="I163" s="550"/>
      <c r="J163" s="551"/>
      <c r="K163" s="108" t="b">
        <v>0</v>
      </c>
      <c r="L163" s="280"/>
      <c r="M163" s="281"/>
      <c r="N163" s="281"/>
      <c r="O163" s="281"/>
      <c r="P163" s="281"/>
      <c r="Q163" s="281"/>
      <c r="R163" s="282"/>
      <c r="S163" s="280"/>
      <c r="T163" s="281"/>
      <c r="U163" s="281"/>
      <c r="V163" s="281"/>
      <c r="W163" s="281"/>
      <c r="X163" s="281"/>
      <c r="Y163" s="282"/>
      <c r="Z163" s="531"/>
      <c r="AA163" s="532"/>
      <c r="AB163" s="532"/>
      <c r="AC163" s="532"/>
      <c r="AD163" s="30"/>
      <c r="AE163" s="533">
        <f>Z163*K163</f>
        <v>0</v>
      </c>
      <c r="AF163" s="533"/>
      <c r="AG163" s="533"/>
      <c r="AH163" s="533"/>
      <c r="AI163" s="533"/>
      <c r="AJ163" s="534"/>
    </row>
    <row r="164" spans="1:36" ht="13.5" customHeight="1" x14ac:dyDescent="0.25">
      <c r="A164" s="1"/>
      <c r="B164" s="94" t="s">
        <v>169</v>
      </c>
      <c r="C164" s="95"/>
      <c r="D164" s="95"/>
      <c r="E164" s="95"/>
      <c r="F164" s="95"/>
      <c r="G164" s="95"/>
      <c r="H164" s="95"/>
      <c r="I164" s="95"/>
      <c r="J164" s="95"/>
      <c r="K164" s="112"/>
      <c r="L164" s="280"/>
      <c r="M164" s="281"/>
      <c r="N164" s="281"/>
      <c r="O164" s="281"/>
      <c r="P164" s="281"/>
      <c r="Q164" s="281"/>
      <c r="R164" s="282"/>
      <c r="S164" s="280"/>
      <c r="T164" s="281"/>
      <c r="U164" s="281"/>
      <c r="V164" s="281"/>
      <c r="W164" s="281"/>
      <c r="X164" s="281"/>
      <c r="Y164" s="282"/>
      <c r="Z164" s="531"/>
      <c r="AA164" s="532"/>
      <c r="AB164" s="532"/>
      <c r="AC164" s="532"/>
      <c r="AD164" s="30"/>
      <c r="AE164" s="533"/>
      <c r="AF164" s="533"/>
      <c r="AG164" s="533"/>
      <c r="AH164" s="533"/>
      <c r="AI164" s="533"/>
      <c r="AJ164" s="534"/>
    </row>
    <row r="165" spans="1:36" ht="13.5" customHeight="1" x14ac:dyDescent="0.25">
      <c r="B165" s="23"/>
      <c r="C165" s="550" t="s">
        <v>170</v>
      </c>
      <c r="D165" s="550"/>
      <c r="E165" s="550"/>
      <c r="F165" s="550"/>
      <c r="G165" s="550"/>
      <c r="H165" s="550"/>
      <c r="I165" s="550"/>
      <c r="J165" s="551"/>
      <c r="K165" s="107" t="b">
        <v>0</v>
      </c>
      <c r="L165" s="280"/>
      <c r="M165" s="281"/>
      <c r="N165" s="281"/>
      <c r="O165" s="281"/>
      <c r="P165" s="281"/>
      <c r="Q165" s="281"/>
      <c r="R165" s="282"/>
      <c r="S165" s="280"/>
      <c r="T165" s="281"/>
      <c r="U165" s="281"/>
      <c r="V165" s="281"/>
      <c r="W165" s="281"/>
      <c r="X165" s="281"/>
      <c r="Y165" s="282"/>
      <c r="Z165" s="531"/>
      <c r="AA165" s="532"/>
      <c r="AB165" s="532"/>
      <c r="AC165" s="532"/>
      <c r="AD165" s="30"/>
      <c r="AE165" s="533">
        <f>Z165*K165</f>
        <v>0</v>
      </c>
      <c r="AF165" s="533"/>
      <c r="AG165" s="533"/>
      <c r="AH165" s="533"/>
      <c r="AI165" s="533"/>
      <c r="AJ165" s="534"/>
    </row>
    <row r="166" spans="1:36" ht="13.5" customHeight="1" x14ac:dyDescent="0.25">
      <c r="B166" s="23"/>
      <c r="C166" s="550" t="s">
        <v>171</v>
      </c>
      <c r="D166" s="550"/>
      <c r="E166" s="550"/>
      <c r="F166" s="550"/>
      <c r="G166" s="550"/>
      <c r="H166" s="550"/>
      <c r="I166" s="550"/>
      <c r="J166" s="551"/>
      <c r="K166" s="108" t="b">
        <v>0</v>
      </c>
      <c r="L166" s="280"/>
      <c r="M166" s="281"/>
      <c r="N166" s="281"/>
      <c r="O166" s="281"/>
      <c r="P166" s="281"/>
      <c r="Q166" s="281"/>
      <c r="R166" s="282"/>
      <c r="S166" s="280"/>
      <c r="T166" s="281"/>
      <c r="U166" s="281"/>
      <c r="V166" s="281"/>
      <c r="W166" s="281"/>
      <c r="X166" s="281"/>
      <c r="Y166" s="282"/>
      <c r="Z166" s="531"/>
      <c r="AA166" s="532"/>
      <c r="AB166" s="532"/>
      <c r="AC166" s="532"/>
      <c r="AD166" s="30"/>
      <c r="AE166" s="533">
        <f>Z166*K166</f>
        <v>0</v>
      </c>
      <c r="AF166" s="533"/>
      <c r="AG166" s="533"/>
      <c r="AH166" s="533"/>
      <c r="AI166" s="533"/>
      <c r="AJ166" s="534"/>
    </row>
    <row r="167" spans="1:36" ht="13.5" customHeight="1" x14ac:dyDescent="0.25">
      <c r="A167" s="91"/>
      <c r="B167" s="543" t="s">
        <v>172</v>
      </c>
      <c r="C167" s="544"/>
      <c r="D167" s="544"/>
      <c r="E167" s="544"/>
      <c r="F167" s="544"/>
      <c r="G167" s="544"/>
      <c r="H167" s="544"/>
      <c r="I167" s="544"/>
      <c r="J167" s="545"/>
      <c r="K167" s="109" t="b">
        <v>0</v>
      </c>
      <c r="L167" s="280"/>
      <c r="M167" s="281"/>
      <c r="N167" s="281"/>
      <c r="O167" s="281"/>
      <c r="P167" s="281"/>
      <c r="Q167" s="281"/>
      <c r="R167" s="282"/>
      <c r="S167" s="280"/>
      <c r="T167" s="281"/>
      <c r="U167" s="281"/>
      <c r="V167" s="281"/>
      <c r="W167" s="281"/>
      <c r="X167" s="281"/>
      <c r="Y167" s="282"/>
      <c r="Z167" s="531"/>
      <c r="AA167" s="532"/>
      <c r="AB167" s="532"/>
      <c r="AC167" s="532"/>
      <c r="AD167" s="30"/>
      <c r="AE167" s="533">
        <f>Z167*K167</f>
        <v>0</v>
      </c>
      <c r="AF167" s="533"/>
      <c r="AG167" s="533"/>
      <c r="AH167" s="533"/>
      <c r="AI167" s="533"/>
      <c r="AJ167" s="534"/>
    </row>
    <row r="168" spans="1:36" ht="13.5" customHeight="1" x14ac:dyDescent="0.25">
      <c r="A168" s="91"/>
      <c r="B168" s="543" t="s">
        <v>173</v>
      </c>
      <c r="C168" s="544"/>
      <c r="D168" s="544"/>
      <c r="E168" s="544"/>
      <c r="F168" s="544"/>
      <c r="G168" s="544"/>
      <c r="H168" s="544"/>
      <c r="I168" s="544"/>
      <c r="J168" s="545"/>
      <c r="K168" s="109" t="b">
        <v>0</v>
      </c>
      <c r="L168" s="280"/>
      <c r="M168" s="281"/>
      <c r="N168" s="281"/>
      <c r="O168" s="281"/>
      <c r="P168" s="281"/>
      <c r="Q168" s="281"/>
      <c r="R168" s="282"/>
      <c r="S168" s="280"/>
      <c r="T168" s="281"/>
      <c r="U168" s="281"/>
      <c r="V168" s="281"/>
      <c r="W168" s="281"/>
      <c r="X168" s="281"/>
      <c r="Y168" s="282"/>
      <c r="Z168" s="531"/>
      <c r="AA168" s="532"/>
      <c r="AB168" s="532"/>
      <c r="AC168" s="532"/>
      <c r="AD168" s="30"/>
      <c r="AE168" s="533">
        <f t="shared" ref="AE168:AE169" si="11">Z168*K168</f>
        <v>0</v>
      </c>
      <c r="AF168" s="533"/>
      <c r="AG168" s="533"/>
      <c r="AH168" s="533"/>
      <c r="AI168" s="533"/>
      <c r="AJ168" s="534"/>
    </row>
    <row r="169" spans="1:36" ht="13.5" customHeight="1" x14ac:dyDescent="0.25">
      <c r="A169" s="1"/>
      <c r="B169" s="92" t="s">
        <v>174</v>
      </c>
      <c r="C169" s="10"/>
      <c r="D169" s="93"/>
      <c r="E169" s="93"/>
      <c r="F169" s="93"/>
      <c r="G169" s="93"/>
      <c r="H169" s="93"/>
      <c r="I169" s="93"/>
      <c r="J169" s="93"/>
      <c r="K169" s="110"/>
      <c r="L169" s="280"/>
      <c r="M169" s="281"/>
      <c r="N169" s="281"/>
      <c r="O169" s="281"/>
      <c r="P169" s="281"/>
      <c r="Q169" s="281"/>
      <c r="R169" s="282"/>
      <c r="S169" s="280"/>
      <c r="T169" s="281"/>
      <c r="U169" s="281"/>
      <c r="V169" s="281"/>
      <c r="W169" s="281"/>
      <c r="X169" s="281"/>
      <c r="Y169" s="282"/>
      <c r="Z169" s="531"/>
      <c r="AA169" s="532"/>
      <c r="AB169" s="532"/>
      <c r="AC169" s="532"/>
      <c r="AD169" s="30"/>
      <c r="AE169" s="533">
        <f t="shared" si="11"/>
        <v>0</v>
      </c>
      <c r="AF169" s="533"/>
      <c r="AG169" s="533"/>
      <c r="AH169" s="533"/>
      <c r="AI169" s="533"/>
      <c r="AJ169" s="534"/>
    </row>
    <row r="170" spans="1:36" ht="13.5" customHeight="1" x14ac:dyDescent="0.25">
      <c r="B170" s="23"/>
      <c r="C170" s="550" t="s">
        <v>175</v>
      </c>
      <c r="D170" s="550"/>
      <c r="E170" s="550"/>
      <c r="F170" s="550"/>
      <c r="G170" s="550"/>
      <c r="H170" s="550"/>
      <c r="I170" s="550"/>
      <c r="J170" s="551"/>
      <c r="K170" s="107" t="b">
        <v>0</v>
      </c>
      <c r="L170" s="280"/>
      <c r="M170" s="281"/>
      <c r="N170" s="281"/>
      <c r="O170" s="281"/>
      <c r="P170" s="281"/>
      <c r="Q170" s="281"/>
      <c r="R170" s="282"/>
      <c r="S170" s="280"/>
      <c r="T170" s="281"/>
      <c r="U170" s="281"/>
      <c r="V170" s="281"/>
      <c r="W170" s="281"/>
      <c r="X170" s="281"/>
      <c r="Y170" s="282"/>
      <c r="Z170" s="531"/>
      <c r="AA170" s="532"/>
      <c r="AB170" s="532"/>
      <c r="AC170" s="532"/>
      <c r="AD170" s="30"/>
      <c r="AE170" s="533">
        <f t="shared" ref="AE170:AE178" si="12">Z170*K170</f>
        <v>0</v>
      </c>
      <c r="AF170" s="533"/>
      <c r="AG170" s="533"/>
      <c r="AH170" s="533"/>
      <c r="AI170" s="533"/>
      <c r="AJ170" s="534"/>
    </row>
    <row r="171" spans="1:36" ht="13.5" customHeight="1" x14ac:dyDescent="0.25">
      <c r="B171" s="23"/>
      <c r="C171" s="550" t="s">
        <v>176</v>
      </c>
      <c r="D171" s="550"/>
      <c r="E171" s="550"/>
      <c r="F171" s="550"/>
      <c r="G171" s="550"/>
      <c r="H171" s="550"/>
      <c r="I171" s="550"/>
      <c r="J171" s="551"/>
      <c r="K171" s="107" t="b">
        <v>0</v>
      </c>
      <c r="L171" s="280"/>
      <c r="M171" s="281"/>
      <c r="N171" s="281"/>
      <c r="O171" s="281"/>
      <c r="P171" s="281"/>
      <c r="Q171" s="281"/>
      <c r="R171" s="282"/>
      <c r="S171" s="280"/>
      <c r="T171" s="281"/>
      <c r="U171" s="281"/>
      <c r="V171" s="281"/>
      <c r="W171" s="281"/>
      <c r="X171" s="281"/>
      <c r="Y171" s="282"/>
      <c r="Z171" s="531"/>
      <c r="AA171" s="532"/>
      <c r="AB171" s="532"/>
      <c r="AC171" s="532"/>
      <c r="AD171" s="30"/>
      <c r="AE171" s="533">
        <f t="shared" si="12"/>
        <v>0</v>
      </c>
      <c r="AF171" s="533"/>
      <c r="AG171" s="533"/>
      <c r="AH171" s="533"/>
      <c r="AI171" s="533"/>
      <c r="AJ171" s="534"/>
    </row>
    <row r="172" spans="1:36" ht="13.5" customHeight="1" x14ac:dyDescent="0.25">
      <c r="B172" s="23"/>
      <c r="C172" s="550" t="s">
        <v>177</v>
      </c>
      <c r="D172" s="550"/>
      <c r="E172" s="550"/>
      <c r="F172" s="550"/>
      <c r="G172" s="550"/>
      <c r="H172" s="550"/>
      <c r="I172" s="550"/>
      <c r="J172" s="551"/>
      <c r="K172" s="107" t="b">
        <v>0</v>
      </c>
      <c r="L172" s="280"/>
      <c r="M172" s="281"/>
      <c r="N172" s="281"/>
      <c r="O172" s="281"/>
      <c r="P172" s="281"/>
      <c r="Q172" s="281"/>
      <c r="R172" s="282"/>
      <c r="S172" s="280"/>
      <c r="T172" s="281"/>
      <c r="U172" s="281"/>
      <c r="V172" s="281"/>
      <c r="W172" s="281"/>
      <c r="X172" s="281"/>
      <c r="Y172" s="282"/>
      <c r="Z172" s="531"/>
      <c r="AA172" s="532"/>
      <c r="AB172" s="532"/>
      <c r="AC172" s="532"/>
      <c r="AD172" s="30"/>
      <c r="AE172" s="533">
        <f t="shared" si="12"/>
        <v>0</v>
      </c>
      <c r="AF172" s="533"/>
      <c r="AG172" s="533"/>
      <c r="AH172" s="533"/>
      <c r="AI172" s="533"/>
      <c r="AJ172" s="534"/>
    </row>
    <row r="173" spans="1:36" ht="13.5" customHeight="1" x14ac:dyDescent="0.25">
      <c r="B173" s="23"/>
      <c r="C173" s="550" t="s">
        <v>178</v>
      </c>
      <c r="D173" s="550"/>
      <c r="E173" s="550"/>
      <c r="F173" s="550"/>
      <c r="G173" s="550"/>
      <c r="H173" s="550"/>
      <c r="I173" s="550"/>
      <c r="J173" s="551"/>
      <c r="K173" s="108" t="b">
        <v>0</v>
      </c>
      <c r="L173" s="280"/>
      <c r="M173" s="281"/>
      <c r="N173" s="281"/>
      <c r="O173" s="281"/>
      <c r="P173" s="281"/>
      <c r="Q173" s="281"/>
      <c r="R173" s="282"/>
      <c r="S173" s="280"/>
      <c r="T173" s="281"/>
      <c r="U173" s="281"/>
      <c r="V173" s="281"/>
      <c r="W173" s="281"/>
      <c r="X173" s="281"/>
      <c r="Y173" s="282"/>
      <c r="Z173" s="531"/>
      <c r="AA173" s="532"/>
      <c r="AB173" s="532"/>
      <c r="AC173" s="532"/>
      <c r="AD173" s="30"/>
      <c r="AE173" s="533">
        <f t="shared" si="12"/>
        <v>0</v>
      </c>
      <c r="AF173" s="533"/>
      <c r="AG173" s="533"/>
      <c r="AH173" s="533"/>
      <c r="AI173" s="533"/>
      <c r="AJ173" s="534"/>
    </row>
    <row r="174" spans="1:36" ht="13.5" customHeight="1" x14ac:dyDescent="0.25">
      <c r="A174" s="91"/>
      <c r="B174" s="543" t="s">
        <v>179</v>
      </c>
      <c r="C174" s="544"/>
      <c r="D174" s="544"/>
      <c r="E174" s="544"/>
      <c r="F174" s="544"/>
      <c r="G174" s="544"/>
      <c r="H174" s="544"/>
      <c r="I174" s="544"/>
      <c r="J174" s="545"/>
      <c r="K174" s="109" t="b">
        <v>0</v>
      </c>
      <c r="L174" s="280"/>
      <c r="M174" s="281"/>
      <c r="N174" s="281"/>
      <c r="O174" s="281"/>
      <c r="P174" s="281"/>
      <c r="Q174" s="281"/>
      <c r="R174" s="282"/>
      <c r="S174" s="280"/>
      <c r="T174" s="281"/>
      <c r="U174" s="281"/>
      <c r="V174" s="281"/>
      <c r="W174" s="281"/>
      <c r="X174" s="281"/>
      <c r="Y174" s="282"/>
      <c r="Z174" s="531"/>
      <c r="AA174" s="532"/>
      <c r="AB174" s="532"/>
      <c r="AC174" s="532"/>
      <c r="AD174" s="30"/>
      <c r="AE174" s="533">
        <f t="shared" si="12"/>
        <v>0</v>
      </c>
      <c r="AF174" s="533"/>
      <c r="AG174" s="533"/>
      <c r="AH174" s="533"/>
      <c r="AI174" s="533"/>
      <c r="AJ174" s="534"/>
    </row>
    <row r="175" spans="1:36" ht="13.5" customHeight="1" x14ac:dyDescent="0.25">
      <c r="A175" s="91"/>
      <c r="B175" s="543" t="s">
        <v>180</v>
      </c>
      <c r="C175" s="544"/>
      <c r="D175" s="544"/>
      <c r="E175" s="544"/>
      <c r="F175" s="544"/>
      <c r="G175" s="544"/>
      <c r="H175" s="544"/>
      <c r="I175" s="544"/>
      <c r="J175" s="545"/>
      <c r="K175" s="109" t="b">
        <v>0</v>
      </c>
      <c r="L175" s="280"/>
      <c r="M175" s="281"/>
      <c r="N175" s="281"/>
      <c r="O175" s="281"/>
      <c r="P175" s="281"/>
      <c r="Q175" s="281"/>
      <c r="R175" s="282"/>
      <c r="S175" s="280"/>
      <c r="T175" s="281"/>
      <c r="U175" s="281"/>
      <c r="V175" s="281"/>
      <c r="W175" s="281"/>
      <c r="X175" s="281"/>
      <c r="Y175" s="282"/>
      <c r="Z175" s="531"/>
      <c r="AA175" s="532"/>
      <c r="AB175" s="532"/>
      <c r="AC175" s="532"/>
      <c r="AD175" s="30"/>
      <c r="AE175" s="533">
        <f t="shared" si="12"/>
        <v>0</v>
      </c>
      <c r="AF175" s="533"/>
      <c r="AG175" s="533"/>
      <c r="AH175" s="533"/>
      <c r="AI175" s="533"/>
      <c r="AJ175" s="534"/>
    </row>
    <row r="176" spans="1:36" ht="13.5" customHeight="1" x14ac:dyDescent="0.25">
      <c r="A176" s="91"/>
      <c r="B176" s="543" t="s">
        <v>181</v>
      </c>
      <c r="C176" s="544"/>
      <c r="D176" s="544"/>
      <c r="E176" s="544"/>
      <c r="F176" s="544"/>
      <c r="G176" s="544"/>
      <c r="H176" s="544"/>
      <c r="I176" s="544"/>
      <c r="J176" s="545"/>
      <c r="K176" s="109" t="b">
        <v>0</v>
      </c>
      <c r="L176" s="280"/>
      <c r="M176" s="281"/>
      <c r="N176" s="281"/>
      <c r="O176" s="281"/>
      <c r="P176" s="281"/>
      <c r="Q176" s="281"/>
      <c r="R176" s="282"/>
      <c r="S176" s="280"/>
      <c r="T176" s="281"/>
      <c r="U176" s="281"/>
      <c r="V176" s="281"/>
      <c r="W176" s="281"/>
      <c r="X176" s="281"/>
      <c r="Y176" s="282"/>
      <c r="Z176" s="531"/>
      <c r="AA176" s="532"/>
      <c r="AB176" s="532"/>
      <c r="AC176" s="532"/>
      <c r="AD176" s="30"/>
      <c r="AE176" s="533">
        <f t="shared" si="12"/>
        <v>0</v>
      </c>
      <c r="AF176" s="533"/>
      <c r="AG176" s="533"/>
      <c r="AH176" s="533"/>
      <c r="AI176" s="533"/>
      <c r="AJ176" s="534"/>
    </row>
    <row r="177" spans="1:41" ht="13.5" customHeight="1" x14ac:dyDescent="0.25">
      <c r="A177" s="91"/>
      <c r="B177" s="543" t="s">
        <v>181</v>
      </c>
      <c r="C177" s="544"/>
      <c r="D177" s="544"/>
      <c r="E177" s="544"/>
      <c r="F177" s="544"/>
      <c r="G177" s="544"/>
      <c r="H177" s="544"/>
      <c r="I177" s="544"/>
      <c r="J177" s="545"/>
      <c r="K177" s="109" t="b">
        <v>0</v>
      </c>
      <c r="L177" s="280"/>
      <c r="M177" s="281"/>
      <c r="N177" s="281"/>
      <c r="O177" s="281"/>
      <c r="P177" s="281"/>
      <c r="Q177" s="281"/>
      <c r="R177" s="282"/>
      <c r="S177" s="280"/>
      <c r="T177" s="281"/>
      <c r="U177" s="281"/>
      <c r="V177" s="281"/>
      <c r="W177" s="281"/>
      <c r="X177" s="281"/>
      <c r="Y177" s="282"/>
      <c r="Z177" s="531"/>
      <c r="AA177" s="532"/>
      <c r="AB177" s="532"/>
      <c r="AC177" s="532"/>
      <c r="AD177" s="30"/>
      <c r="AE177" s="533">
        <f t="shared" si="12"/>
        <v>0</v>
      </c>
      <c r="AF177" s="533"/>
      <c r="AG177" s="533"/>
      <c r="AH177" s="533"/>
      <c r="AI177" s="533"/>
      <c r="AJ177" s="534"/>
    </row>
    <row r="178" spans="1:41" ht="13.5" customHeight="1" x14ac:dyDescent="0.25">
      <c r="A178" s="91"/>
      <c r="B178" s="543" t="s">
        <v>181</v>
      </c>
      <c r="C178" s="544"/>
      <c r="D178" s="544"/>
      <c r="E178" s="544"/>
      <c r="F178" s="544"/>
      <c r="G178" s="544"/>
      <c r="H178" s="544"/>
      <c r="I178" s="544"/>
      <c r="J178" s="545"/>
      <c r="K178" s="109" t="b">
        <v>0</v>
      </c>
      <c r="L178" s="280"/>
      <c r="M178" s="281"/>
      <c r="N178" s="281"/>
      <c r="O178" s="281"/>
      <c r="P178" s="281"/>
      <c r="Q178" s="281"/>
      <c r="R178" s="282"/>
      <c r="S178" s="280"/>
      <c r="T178" s="281"/>
      <c r="U178" s="281"/>
      <c r="V178" s="281"/>
      <c r="W178" s="281"/>
      <c r="X178" s="281"/>
      <c r="Y178" s="282"/>
      <c r="Z178" s="531"/>
      <c r="AA178" s="532"/>
      <c r="AB178" s="532"/>
      <c r="AC178" s="532"/>
      <c r="AD178" s="30"/>
      <c r="AE178" s="533">
        <f t="shared" si="12"/>
        <v>0</v>
      </c>
      <c r="AF178" s="533"/>
      <c r="AG178" s="533"/>
      <c r="AH178" s="533"/>
      <c r="AI178" s="533"/>
      <c r="AJ178" s="534"/>
    </row>
    <row r="179" spans="1:41" ht="7.5" customHeight="1" thickBot="1" x14ac:dyDescent="0.3">
      <c r="B179" s="96"/>
      <c r="D179" s="2"/>
      <c r="E179" s="2"/>
      <c r="F179" s="2"/>
      <c r="H179" s="2"/>
      <c r="I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41" ht="19.5" customHeight="1" thickBot="1" x14ac:dyDescent="0.3">
      <c r="J180" s="9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17"/>
      <c r="Z180" s="11"/>
      <c r="AA180" s="11"/>
      <c r="AB180" s="11"/>
      <c r="AC180" s="11"/>
      <c r="AD180" s="98" t="s">
        <v>182</v>
      </c>
      <c r="AE180" s="539">
        <f>SUM(AE145:AJ178)</f>
        <v>0</v>
      </c>
      <c r="AF180" s="540"/>
      <c r="AG180" s="540"/>
      <c r="AH180" s="540"/>
      <c r="AI180" s="540"/>
      <c r="AJ180" s="541"/>
    </row>
    <row r="181" spans="1:41" ht="7.5" customHeight="1" x14ac:dyDescent="0.25"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41" x14ac:dyDescent="0.25">
      <c r="A182" s="73" t="s">
        <v>388</v>
      </c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571" t="s">
        <v>389</v>
      </c>
      <c r="AA182" s="571"/>
      <c r="AB182" s="571"/>
      <c r="AC182" s="571"/>
      <c r="AD182" s="571"/>
      <c r="AE182" s="571"/>
      <c r="AF182" s="571"/>
      <c r="AG182" s="571"/>
      <c r="AH182" s="571"/>
      <c r="AI182" s="571"/>
      <c r="AJ182" s="571"/>
      <c r="AK182" s="572"/>
    </row>
    <row r="183" spans="1:41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41" x14ac:dyDescent="0.25">
      <c r="A184" s="91" t="s">
        <v>183</v>
      </c>
      <c r="B184" s="99"/>
      <c r="C184" s="9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100"/>
      <c r="AA184" s="100"/>
      <c r="AB184" s="101"/>
      <c r="AC184" s="324">
        <f ca="1">AE117</f>
        <v>1075.3333333333333</v>
      </c>
      <c r="AD184" s="542"/>
      <c r="AE184" s="542"/>
      <c r="AF184" s="542"/>
      <c r="AG184" s="542"/>
      <c r="AH184" s="542"/>
      <c r="AI184" s="542"/>
      <c r="AJ184" s="542"/>
    </row>
    <row r="185" spans="1:41" ht="9" customHeight="1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41" x14ac:dyDescent="0.25">
      <c r="A186" s="91" t="s">
        <v>243</v>
      </c>
      <c r="B186" s="99"/>
      <c r="C186" s="9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100"/>
      <c r="AA186" s="100"/>
      <c r="AB186" s="101"/>
      <c r="AC186" s="600">
        <f>AE140</f>
        <v>0</v>
      </c>
      <c r="AD186" s="601"/>
      <c r="AE186" s="601"/>
      <c r="AF186" s="601"/>
      <c r="AG186" s="601"/>
      <c r="AH186" s="601"/>
      <c r="AI186" s="601"/>
      <c r="AJ186" s="602"/>
    </row>
    <row r="187" spans="1:41" ht="9" customHeight="1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41" x14ac:dyDescent="0.25">
      <c r="A188" s="91" t="s">
        <v>398</v>
      </c>
      <c r="B188" s="99"/>
      <c r="C188" s="9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100"/>
      <c r="AA188" s="100"/>
      <c r="AB188" s="101"/>
      <c r="AC188" s="324">
        <f>AE180</f>
        <v>0</v>
      </c>
      <c r="AD188" s="542"/>
      <c r="AE188" s="542"/>
      <c r="AF188" s="542"/>
      <c r="AG188" s="542"/>
      <c r="AH188" s="542"/>
      <c r="AI188" s="542"/>
      <c r="AJ188" s="542"/>
    </row>
    <row r="189" spans="1:41" ht="9" customHeight="1" thickBot="1" x14ac:dyDescent="0.3">
      <c r="AC189" s="102"/>
      <c r="AD189" s="102"/>
      <c r="AE189" s="102"/>
      <c r="AF189" s="102"/>
      <c r="AG189" s="102"/>
      <c r="AH189" s="102"/>
      <c r="AI189" s="102"/>
      <c r="AJ189" s="102"/>
    </row>
    <row r="190" spans="1:41" ht="14.25" customHeight="1" thickTop="1" x14ac:dyDescent="0.25">
      <c r="AA190" s="5" t="s">
        <v>244</v>
      </c>
      <c r="AC190" s="546">
        <f ca="1">SUM(AC184:AJ188)</f>
        <v>1075.3333333333333</v>
      </c>
      <c r="AD190" s="547"/>
      <c r="AE190" s="547"/>
      <c r="AF190" s="547"/>
      <c r="AG190" s="547"/>
      <c r="AH190" s="547"/>
      <c r="AI190" s="547"/>
      <c r="AJ190" s="547"/>
      <c r="AO190" s="36"/>
    </row>
    <row r="191" spans="1:41" ht="9" customHeight="1" x14ac:dyDescent="0.25"/>
    <row r="192" spans="1:41" ht="15" customHeight="1" x14ac:dyDescent="0.25">
      <c r="A192" s="345" t="s">
        <v>345</v>
      </c>
      <c r="B192" s="346"/>
      <c r="C192" s="303"/>
      <c r="D192" s="304"/>
      <c r="E192" s="304"/>
      <c r="F192" s="304"/>
      <c r="G192" s="304"/>
      <c r="H192" s="304"/>
      <c r="I192" s="304"/>
      <c r="J192" s="304"/>
      <c r="K192" s="304"/>
      <c r="L192" s="304"/>
      <c r="M192" s="304"/>
      <c r="N192" s="304"/>
      <c r="O192" s="304"/>
      <c r="P192" s="304"/>
      <c r="Q192" s="304"/>
      <c r="R192" s="304"/>
      <c r="S192" s="304"/>
      <c r="T192" s="304"/>
      <c r="U192" s="304"/>
      <c r="V192" s="304"/>
      <c r="W192" s="304"/>
      <c r="X192" s="304"/>
      <c r="Y192" s="304"/>
      <c r="Z192" s="304"/>
      <c r="AA192" s="304"/>
      <c r="AB192" s="305"/>
      <c r="AC192" s="591">
        <v>0</v>
      </c>
      <c r="AD192" s="592"/>
      <c r="AE192" s="592"/>
      <c r="AF192" s="592"/>
      <c r="AG192" s="592"/>
      <c r="AH192" s="592"/>
      <c r="AI192" s="592"/>
      <c r="AJ192" s="593"/>
    </row>
    <row r="193" spans="1:45" ht="15" customHeight="1" x14ac:dyDescent="0.25">
      <c r="A193" s="347"/>
      <c r="B193" s="348"/>
      <c r="C193" s="303"/>
      <c r="D193" s="304"/>
      <c r="E193" s="304"/>
      <c r="F193" s="304"/>
      <c r="G193" s="304"/>
      <c r="H193" s="304"/>
      <c r="I193" s="304"/>
      <c r="J193" s="304"/>
      <c r="K193" s="304"/>
      <c r="L193" s="304"/>
      <c r="M193" s="304"/>
      <c r="N193" s="304"/>
      <c r="O193" s="304"/>
      <c r="P193" s="304"/>
      <c r="Q193" s="304"/>
      <c r="R193" s="304"/>
      <c r="S193" s="304"/>
      <c r="T193" s="304"/>
      <c r="U193" s="304"/>
      <c r="V193" s="304"/>
      <c r="W193" s="304"/>
      <c r="X193" s="304"/>
      <c r="Y193" s="304"/>
      <c r="Z193" s="304"/>
      <c r="AA193" s="304"/>
      <c r="AB193" s="305"/>
      <c r="AC193" s="594"/>
      <c r="AD193" s="595"/>
      <c r="AE193" s="595"/>
      <c r="AF193" s="595"/>
      <c r="AG193" s="595"/>
      <c r="AH193" s="595"/>
      <c r="AI193" s="595"/>
      <c r="AJ193" s="596"/>
    </row>
    <row r="194" spans="1:45" ht="9" customHeight="1" x14ac:dyDescent="0.25">
      <c r="A194" s="347"/>
      <c r="B194" s="348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spans="1:45" x14ac:dyDescent="0.25">
      <c r="A195" s="347"/>
      <c r="B195" s="348"/>
      <c r="C195" s="303"/>
      <c r="D195" s="304"/>
      <c r="E195" s="304"/>
      <c r="F195" s="304"/>
      <c r="G195" s="304"/>
      <c r="H195" s="304"/>
      <c r="I195" s="304"/>
      <c r="J195" s="304"/>
      <c r="K195" s="304"/>
      <c r="L195" s="304"/>
      <c r="M195" s="304"/>
      <c r="N195" s="304"/>
      <c r="O195" s="304"/>
      <c r="P195" s="304"/>
      <c r="Q195" s="304"/>
      <c r="R195" s="304"/>
      <c r="S195" s="304"/>
      <c r="T195" s="304"/>
      <c r="U195" s="304"/>
      <c r="V195" s="304"/>
      <c r="W195" s="304"/>
      <c r="X195" s="304"/>
      <c r="Y195" s="304"/>
      <c r="Z195" s="304"/>
      <c r="AA195" s="304"/>
      <c r="AB195" s="305"/>
      <c r="AC195" s="597">
        <f>V195</f>
        <v>0</v>
      </c>
      <c r="AD195" s="598"/>
      <c r="AE195" s="598"/>
      <c r="AF195" s="598"/>
      <c r="AG195" s="598"/>
      <c r="AH195" s="598"/>
      <c r="AI195" s="598"/>
      <c r="AJ195" s="599"/>
      <c r="AO195" s="20" t="s">
        <v>400</v>
      </c>
      <c r="AP195" s="117">
        <f ca="1">IF(AM200&lt;1000000,10.5,IF(AM200&lt;1500000,9,IF(AM200&lt;2000000,8.25,7.75)))</f>
        <v>10.5</v>
      </c>
    </row>
    <row r="196" spans="1:45" x14ac:dyDescent="0.25">
      <c r="A196" s="347"/>
      <c r="B196" s="348"/>
      <c r="C196" s="303"/>
      <c r="D196" s="304"/>
      <c r="E196" s="304"/>
      <c r="F196" s="304"/>
      <c r="G196" s="304"/>
      <c r="H196" s="304"/>
      <c r="I196" s="304"/>
      <c r="J196" s="304"/>
      <c r="K196" s="304"/>
      <c r="L196" s="304"/>
      <c r="M196" s="304"/>
      <c r="N196" s="304"/>
      <c r="O196" s="304"/>
      <c r="P196" s="304"/>
      <c r="Q196" s="304"/>
      <c r="R196" s="304"/>
      <c r="S196" s="304"/>
      <c r="T196" s="304"/>
      <c r="U196" s="304"/>
      <c r="V196" s="304"/>
      <c r="W196" s="304"/>
      <c r="X196" s="304"/>
      <c r="Y196" s="304"/>
      <c r="Z196" s="304"/>
      <c r="AA196" s="304"/>
      <c r="AB196" s="305"/>
      <c r="AC196" s="588">
        <v>0</v>
      </c>
      <c r="AD196" s="589"/>
      <c r="AE196" s="589"/>
      <c r="AF196" s="589"/>
      <c r="AG196" s="589"/>
      <c r="AH196" s="589"/>
      <c r="AI196" s="589"/>
      <c r="AJ196" s="590"/>
      <c r="AO196" s="23" t="s">
        <v>401</v>
      </c>
      <c r="AP196" s="118">
        <v>1</v>
      </c>
    </row>
    <row r="197" spans="1:45" x14ac:dyDescent="0.25">
      <c r="A197" s="347"/>
      <c r="B197" s="348"/>
      <c r="C197" s="303"/>
      <c r="D197" s="304"/>
      <c r="E197" s="304"/>
      <c r="F197" s="304"/>
      <c r="G197" s="304"/>
      <c r="H197" s="304"/>
      <c r="I197" s="304"/>
      <c r="J197" s="304"/>
      <c r="K197" s="304"/>
      <c r="L197" s="304"/>
      <c r="M197" s="304"/>
      <c r="N197" s="304"/>
      <c r="O197" s="304"/>
      <c r="P197" s="304"/>
      <c r="Q197" s="304"/>
      <c r="R197" s="304"/>
      <c r="S197" s="304"/>
      <c r="T197" s="304"/>
      <c r="U197" s="304"/>
      <c r="V197" s="304"/>
      <c r="W197" s="304"/>
      <c r="X197" s="304"/>
      <c r="Y197" s="304"/>
      <c r="Z197" s="304"/>
      <c r="AA197" s="304"/>
      <c r="AB197" s="305"/>
      <c r="AC197" s="588">
        <v>0</v>
      </c>
      <c r="AD197" s="589"/>
      <c r="AE197" s="589"/>
      <c r="AF197" s="589"/>
      <c r="AG197" s="589"/>
      <c r="AH197" s="589"/>
      <c r="AI197" s="589"/>
      <c r="AJ197" s="590"/>
      <c r="AO197" s="27"/>
      <c r="AP197" s="120">
        <f ca="1">AP196*AP195</f>
        <v>10.5</v>
      </c>
    </row>
    <row r="198" spans="1:45" x14ac:dyDescent="0.25">
      <c r="A198" s="349"/>
      <c r="B198" s="350"/>
      <c r="C198" s="303"/>
      <c r="D198" s="304"/>
      <c r="E198" s="304"/>
      <c r="F198" s="304"/>
      <c r="G198" s="304"/>
      <c r="H198" s="304"/>
      <c r="I198" s="304"/>
      <c r="J198" s="304"/>
      <c r="K198" s="304"/>
      <c r="L198" s="304"/>
      <c r="M198" s="304"/>
      <c r="N198" s="304"/>
      <c r="O198" s="304"/>
      <c r="P198" s="304"/>
      <c r="Q198" s="304"/>
      <c r="R198" s="304"/>
      <c r="S198" s="304"/>
      <c r="T198" s="304"/>
      <c r="U198" s="304"/>
      <c r="V198" s="304"/>
      <c r="W198" s="304"/>
      <c r="X198" s="304"/>
      <c r="Y198" s="304"/>
      <c r="Z198" s="304"/>
      <c r="AA198" s="304"/>
      <c r="AB198" s="305"/>
      <c r="AC198" s="625">
        <f>V198</f>
        <v>0</v>
      </c>
      <c r="AD198" s="626"/>
      <c r="AE198" s="626"/>
      <c r="AF198" s="626"/>
      <c r="AG198" s="626"/>
      <c r="AH198" s="626"/>
      <c r="AI198" s="626"/>
      <c r="AJ198" s="627"/>
      <c r="AM198" s="20"/>
      <c r="AN198" s="114"/>
      <c r="AO198" s="21" t="s">
        <v>394</v>
      </c>
      <c r="AP198" s="117"/>
    </row>
    <row r="199" spans="1:45" ht="9" customHeight="1" x14ac:dyDescent="0.25">
      <c r="AM199" s="23"/>
      <c r="AP199" s="118"/>
    </row>
    <row r="200" spans="1:45" x14ac:dyDescent="0.25">
      <c r="C200" s="538">
        <f ca="1">(N88+T88+Z88+AF88)*1.1/16</f>
        <v>0.27500000000000002</v>
      </c>
      <c r="D200" s="538"/>
      <c r="E200" s="538"/>
      <c r="F200" s="538"/>
      <c r="G200" s="538"/>
      <c r="H200" s="538"/>
      <c r="I200" s="538"/>
      <c r="V200" s="5" t="s">
        <v>184</v>
      </c>
      <c r="W200" s="583">
        <f ca="1">IF(AM200&gt;1000000,"A la Carte",18)</f>
        <v>18</v>
      </c>
      <c r="X200" s="583"/>
      <c r="Y200" s="583"/>
      <c r="Z200" s="583"/>
      <c r="AA200" s="583"/>
      <c r="AC200" s="611">
        <f ca="1">IF(AM200&lt;1000000,(SUM($AC$190:$AJ$198)*((1+$W$208)*(1+$W$209))*W200/1000),AP200)</f>
        <v>23.37237</v>
      </c>
      <c r="AD200" s="612"/>
      <c r="AE200" s="612"/>
      <c r="AF200" s="612"/>
      <c r="AG200" s="612"/>
      <c r="AH200" s="612"/>
      <c r="AI200" s="612"/>
      <c r="AJ200" s="613"/>
      <c r="AM200" s="296">
        <f ca="1">(AC190+SUM(AC192:AJ198))*1.05*(1+W208+W209)</f>
        <v>1354.9199999999998</v>
      </c>
      <c r="AN200" s="297"/>
      <c r="AO200" s="297"/>
      <c r="AP200" s="118">
        <f ca="1">IF(C200*0.18*AM200/100&gt;5300,C200*0.18*AM200/100+500,5800)</f>
        <v>5800</v>
      </c>
    </row>
    <row r="201" spans="1:45" x14ac:dyDescent="0.25">
      <c r="V201" s="5" t="s">
        <v>185</v>
      </c>
      <c r="W201" s="583" t="str">
        <f>IF(AM36=1,"FAIRE CHOIX PAGE 2",IF(AND(AM36&gt;=2,AM36&lt;=4),5,IF(AM36=5,AP197,"APPEL")))</f>
        <v>FAIRE CHOIX PAGE 2</v>
      </c>
      <c r="X201" s="583"/>
      <c r="Y201" s="583"/>
      <c r="Z201" s="583"/>
      <c r="AA201" s="583"/>
      <c r="AC201" s="614" t="e">
        <f ca="1">SUM($AC$190:$AJ$198)*((1+$W$208)*(1+$W$209))*W201/1000</f>
        <v>#VALUE!</v>
      </c>
      <c r="AD201" s="608"/>
      <c r="AE201" s="608"/>
      <c r="AF201" s="608"/>
      <c r="AG201" s="608"/>
      <c r="AH201" s="608"/>
      <c r="AI201" s="608"/>
      <c r="AJ201" s="615"/>
      <c r="AM201" s="298"/>
      <c r="AN201" s="299"/>
      <c r="AO201" s="299"/>
      <c r="AP201" s="119">
        <f ca="1">CEILING(C200,1)</f>
        <v>1</v>
      </c>
      <c r="AQ201" s="34"/>
    </row>
    <row r="202" spans="1:45" x14ac:dyDescent="0.25">
      <c r="A202" s="648" t="s">
        <v>6</v>
      </c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50"/>
      <c r="V202" s="5" t="s">
        <v>402</v>
      </c>
      <c r="W202" s="581">
        <f>IF(AM202=TRUE,3500,IF(AN202=TRUE,4500,0))</f>
        <v>0</v>
      </c>
      <c r="X202" s="581"/>
      <c r="Y202" s="581"/>
      <c r="Z202" s="581"/>
      <c r="AA202" s="581"/>
      <c r="AC202" s="614">
        <f>W202</f>
        <v>0</v>
      </c>
      <c r="AD202" s="608"/>
      <c r="AE202" s="608"/>
      <c r="AF202" s="608"/>
      <c r="AG202" s="608"/>
      <c r="AH202" s="608"/>
      <c r="AI202" s="608"/>
      <c r="AJ202" s="615"/>
      <c r="AM202" s="47" t="b">
        <v>0</v>
      </c>
      <c r="AN202" s="113" t="b">
        <v>0</v>
      </c>
      <c r="AP202" s="59"/>
      <c r="AS202" s="115"/>
    </row>
    <row r="203" spans="1:45" x14ac:dyDescent="0.25">
      <c r="A203" s="655" t="e">
        <f ca="1">AC211/AF5</f>
        <v>#VALUE!</v>
      </c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7"/>
      <c r="V203" s="5" t="s">
        <v>399</v>
      </c>
      <c r="W203" s="582">
        <v>0</v>
      </c>
      <c r="X203" s="582"/>
      <c r="Y203" s="582"/>
      <c r="Z203" s="582"/>
      <c r="AA203" s="582"/>
      <c r="AC203" s="614">
        <f t="shared" ref="AC203:AC204" ca="1" si="13">(SUM($AC$190:$AJ$198)*((1+$W$208)*(1+$W$209))*W203/1000)</f>
        <v>0</v>
      </c>
      <c r="AD203" s="608"/>
      <c r="AE203" s="608"/>
      <c r="AF203" s="608"/>
      <c r="AG203" s="608"/>
      <c r="AH203" s="608"/>
      <c r="AI203" s="608"/>
      <c r="AJ203" s="615"/>
      <c r="AM203" s="47"/>
      <c r="AN203" s="113"/>
      <c r="AP203" s="116"/>
      <c r="AS203" s="115"/>
    </row>
    <row r="204" spans="1:45" x14ac:dyDescent="0.25">
      <c r="A204" s="655"/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7"/>
      <c r="V204" s="5" t="s">
        <v>403</v>
      </c>
      <c r="W204" s="583">
        <f>IF(AM38&gt;1,8.5,0)</f>
        <v>0</v>
      </c>
      <c r="X204" s="583"/>
      <c r="Y204" s="583"/>
      <c r="Z204" s="583"/>
      <c r="AA204" s="583"/>
      <c r="AC204" s="614">
        <f t="shared" ca="1" si="13"/>
        <v>0</v>
      </c>
      <c r="AD204" s="608"/>
      <c r="AE204" s="608"/>
      <c r="AF204" s="608"/>
      <c r="AG204" s="608"/>
      <c r="AH204" s="608"/>
      <c r="AI204" s="608"/>
      <c r="AJ204" s="615"/>
      <c r="AM204" s="47"/>
      <c r="AN204" s="113"/>
      <c r="AP204" s="59"/>
      <c r="AS204" s="115"/>
    </row>
    <row r="205" spans="1:45" x14ac:dyDescent="0.25">
      <c r="A205" s="658"/>
      <c r="B205" s="659"/>
      <c r="C205" s="659"/>
      <c r="D205" s="659"/>
      <c r="E205" s="659"/>
      <c r="F205" s="659"/>
      <c r="G205" s="659"/>
      <c r="H205" s="659"/>
      <c r="I205" s="659"/>
      <c r="J205" s="659"/>
      <c r="K205" s="659"/>
      <c r="L205" s="659"/>
      <c r="M205" s="659"/>
      <c r="N205" s="660"/>
      <c r="V205" s="5" t="s">
        <v>405</v>
      </c>
      <c r="W205" s="581">
        <f>IF(AM205=TRUE,500,0)</f>
        <v>0</v>
      </c>
      <c r="X205" s="581"/>
      <c r="Y205" s="581"/>
      <c r="Z205" s="581"/>
      <c r="AA205" s="581"/>
      <c r="AC205" s="614">
        <f>W205</f>
        <v>0</v>
      </c>
      <c r="AD205" s="608"/>
      <c r="AE205" s="608"/>
      <c r="AF205" s="608"/>
      <c r="AG205" s="608"/>
      <c r="AH205" s="608"/>
      <c r="AI205" s="608"/>
      <c r="AJ205" s="615"/>
      <c r="AM205" s="47" t="b">
        <v>0</v>
      </c>
      <c r="AN205" s="113"/>
      <c r="AP205" s="60"/>
      <c r="AS205" s="115"/>
    </row>
    <row r="206" spans="1:45" x14ac:dyDescent="0.25">
      <c r="A206" s="658"/>
      <c r="B206" s="659"/>
      <c r="C206" s="659"/>
      <c r="D206" s="659"/>
      <c r="E206" s="659"/>
      <c r="F206" s="659"/>
      <c r="G206" s="659"/>
      <c r="H206" s="659"/>
      <c r="I206" s="659"/>
      <c r="J206" s="659"/>
      <c r="K206" s="659"/>
      <c r="L206" s="659"/>
      <c r="M206" s="659"/>
      <c r="N206" s="660"/>
      <c r="P206" s="320" t="s">
        <v>404</v>
      </c>
      <c r="Q206" s="320"/>
      <c r="R206" s="320"/>
      <c r="S206" s="320"/>
      <c r="T206" s="320"/>
      <c r="U206" s="320"/>
      <c r="V206" s="320"/>
      <c r="W206" s="654">
        <v>0</v>
      </c>
      <c r="X206" s="654"/>
      <c r="Y206" s="654"/>
      <c r="Z206" s="654"/>
      <c r="AA206" s="654"/>
      <c r="AC206" s="616">
        <f ca="1">(SUM($AC$190:$AJ$198)*((1+$W$208)*(1+$W$209))*W206/1000)</f>
        <v>0</v>
      </c>
      <c r="AD206" s="617"/>
      <c r="AE206" s="617"/>
      <c r="AF206" s="617"/>
      <c r="AG206" s="617"/>
      <c r="AH206" s="617"/>
      <c r="AI206" s="617"/>
      <c r="AJ206" s="618"/>
      <c r="AP206" s="60"/>
      <c r="AS206" s="115"/>
    </row>
    <row r="207" spans="1:45" ht="9" customHeight="1" x14ac:dyDescent="0.25">
      <c r="A207" s="634"/>
      <c r="B207" s="635"/>
      <c r="C207" s="635"/>
      <c r="D207" s="635"/>
      <c r="E207" s="635"/>
      <c r="F207" s="635"/>
      <c r="G207" s="635"/>
      <c r="H207" s="635"/>
      <c r="I207" s="635"/>
      <c r="J207" s="635"/>
      <c r="K207" s="635"/>
      <c r="L207" s="635"/>
      <c r="M207" s="635"/>
      <c r="N207" s="636"/>
      <c r="AS207" s="115"/>
    </row>
    <row r="208" spans="1:45" ht="14.25" customHeight="1" x14ac:dyDescent="0.25">
      <c r="A208" s="634"/>
      <c r="B208" s="635"/>
      <c r="C208" s="635"/>
      <c r="D208" s="635"/>
      <c r="E208" s="635"/>
      <c r="F208" s="635"/>
      <c r="G208" s="635"/>
      <c r="H208" s="635"/>
      <c r="I208" s="635"/>
      <c r="J208" s="635"/>
      <c r="K208" s="635"/>
      <c r="L208" s="635"/>
      <c r="M208" s="635"/>
      <c r="N208" s="636"/>
      <c r="V208" s="5" t="s">
        <v>186</v>
      </c>
      <c r="W208" s="640">
        <v>0.05</v>
      </c>
      <c r="X208" s="640"/>
      <c r="Y208" s="640"/>
      <c r="Z208" s="640"/>
      <c r="AA208" s="640"/>
      <c r="AC208" s="611" t="e">
        <f ca="1">SUM(AC190:AJ206)*W208</f>
        <v>#VALUE!</v>
      </c>
      <c r="AD208" s="612"/>
      <c r="AE208" s="612"/>
      <c r="AF208" s="612"/>
      <c r="AG208" s="612"/>
      <c r="AH208" s="612"/>
      <c r="AI208" s="612"/>
      <c r="AJ208" s="613"/>
      <c r="AS208" s="115"/>
    </row>
    <row r="209" spans="1:45" ht="14.25" customHeight="1" x14ac:dyDescent="0.25">
      <c r="A209" s="634"/>
      <c r="B209" s="635"/>
      <c r="C209" s="635"/>
      <c r="D209" s="635"/>
      <c r="E209" s="635"/>
      <c r="F209" s="635"/>
      <c r="G209" s="635"/>
      <c r="H209" s="635"/>
      <c r="I209" s="635"/>
      <c r="J209" s="635"/>
      <c r="K209" s="635"/>
      <c r="L209" s="635"/>
      <c r="M209" s="635"/>
      <c r="N209" s="636"/>
      <c r="V209" s="5" t="s">
        <v>187</v>
      </c>
      <c r="W209" s="640">
        <v>0.15</v>
      </c>
      <c r="X209" s="640"/>
      <c r="Y209" s="640"/>
      <c r="Z209" s="640"/>
      <c r="AA209" s="640"/>
      <c r="AC209" s="616" t="e">
        <f ca="1">SUM(AC190:AJ208)*W209</f>
        <v>#VALUE!</v>
      </c>
      <c r="AD209" s="617"/>
      <c r="AE209" s="617"/>
      <c r="AF209" s="617"/>
      <c r="AG209" s="617"/>
      <c r="AH209" s="617"/>
      <c r="AI209" s="617"/>
      <c r="AJ209" s="618"/>
      <c r="AS209" s="115"/>
    </row>
    <row r="210" spans="1:45" ht="9.75" customHeight="1" thickBot="1" x14ac:dyDescent="0.3">
      <c r="A210" s="634"/>
      <c r="B210" s="635"/>
      <c r="C210" s="635"/>
      <c r="D210" s="635"/>
      <c r="E210" s="635"/>
      <c r="F210" s="635"/>
      <c r="G210" s="635"/>
      <c r="H210" s="635"/>
      <c r="I210" s="635"/>
      <c r="J210" s="635"/>
      <c r="K210" s="635"/>
      <c r="L210" s="635"/>
      <c r="M210" s="635"/>
      <c r="N210" s="636"/>
      <c r="O210" s="641" t="s">
        <v>188</v>
      </c>
      <c r="P210" s="642"/>
      <c r="Q210" s="642"/>
      <c r="R210" s="642"/>
      <c r="S210" s="642"/>
      <c r="T210" s="642"/>
      <c r="U210" s="642"/>
      <c r="V210" s="642"/>
      <c r="W210" s="643"/>
      <c r="X210" s="643"/>
      <c r="Y210" s="644"/>
      <c r="AS210" s="115"/>
    </row>
    <row r="211" spans="1:45" ht="10.5" customHeight="1" x14ac:dyDescent="0.25">
      <c r="A211" s="634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6"/>
      <c r="O211" s="645"/>
      <c r="P211" s="646"/>
      <c r="Q211" s="646"/>
      <c r="R211" s="646"/>
      <c r="S211" s="646"/>
      <c r="T211" s="646"/>
      <c r="U211" s="646"/>
      <c r="V211" s="646"/>
      <c r="W211" s="646"/>
      <c r="X211" s="646"/>
      <c r="Y211" s="647"/>
      <c r="Z211" s="651" t="s">
        <v>189</v>
      </c>
      <c r="AA211" s="652"/>
      <c r="AB211" s="653"/>
      <c r="AC211" s="619" t="e">
        <f ca="1">SUM(AC190:AJ209)</f>
        <v>#VALUE!</v>
      </c>
      <c r="AD211" s="620"/>
      <c r="AE211" s="620"/>
      <c r="AF211" s="620"/>
      <c r="AG211" s="620"/>
      <c r="AH211" s="620"/>
      <c r="AI211" s="620"/>
      <c r="AJ211" s="621"/>
    </row>
    <row r="212" spans="1:45" ht="10.5" customHeight="1" thickBot="1" x14ac:dyDescent="0.3">
      <c r="A212" s="634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5"/>
      <c r="M212" s="635"/>
      <c r="N212" s="636"/>
      <c r="O212" s="20"/>
      <c r="P212" s="21"/>
      <c r="Q212" s="21"/>
      <c r="R212" s="21"/>
      <c r="S212" s="21"/>
      <c r="T212" s="21"/>
      <c r="U212" s="21"/>
      <c r="V212" s="21"/>
      <c r="W212" s="21"/>
      <c r="X212" s="21"/>
      <c r="Y212" s="22"/>
      <c r="Z212" s="651"/>
      <c r="AA212" s="652"/>
      <c r="AB212" s="653"/>
      <c r="AC212" s="622"/>
      <c r="AD212" s="623"/>
      <c r="AE212" s="623"/>
      <c r="AF212" s="623"/>
      <c r="AG212" s="623"/>
      <c r="AH212" s="623"/>
      <c r="AI212" s="623"/>
      <c r="AJ212" s="624"/>
    </row>
    <row r="213" spans="1:45" ht="10.5" customHeight="1" x14ac:dyDescent="0.25">
      <c r="A213" s="634"/>
      <c r="B213" s="635"/>
      <c r="C213" s="635"/>
      <c r="D213" s="635"/>
      <c r="E213" s="635"/>
      <c r="F213" s="635"/>
      <c r="G213" s="635"/>
      <c r="H213" s="635"/>
      <c r="I213" s="635"/>
      <c r="J213" s="635"/>
      <c r="K213" s="635"/>
      <c r="L213" s="635"/>
      <c r="M213" s="635"/>
      <c r="N213" s="636"/>
      <c r="O213" s="23"/>
      <c r="Y213" s="24"/>
    </row>
    <row r="214" spans="1:45" ht="15.75" thickBot="1" x14ac:dyDescent="0.3">
      <c r="A214" s="634"/>
      <c r="B214" s="635"/>
      <c r="C214" s="635"/>
      <c r="D214" s="635"/>
      <c r="E214" s="635"/>
      <c r="F214" s="635"/>
      <c r="G214" s="635"/>
      <c r="H214" s="635"/>
      <c r="I214" s="635"/>
      <c r="J214" s="635"/>
      <c r="K214" s="635"/>
      <c r="L214" s="635"/>
      <c r="M214" s="635"/>
      <c r="N214" s="636"/>
      <c r="O214" s="23"/>
      <c r="P214" s="4"/>
      <c r="Q214" s="4"/>
      <c r="R214" s="4"/>
      <c r="S214" s="4"/>
      <c r="T214" s="4"/>
      <c r="U214" s="4"/>
      <c r="V214" s="4"/>
      <c r="W214" s="4"/>
      <c r="X214" s="4"/>
      <c r="Y214" s="24"/>
      <c r="Z214" t="s">
        <v>190</v>
      </c>
      <c r="AA214" s="609">
        <v>0.05</v>
      </c>
      <c r="AB214" s="609"/>
      <c r="AC214" s="608" t="e">
        <f ca="1">AC211*AA214</f>
        <v>#VALUE!</v>
      </c>
      <c r="AD214" s="275"/>
      <c r="AE214" s="275"/>
      <c r="AF214" s="275"/>
      <c r="AG214" s="275"/>
      <c r="AH214" s="275"/>
      <c r="AI214" s="275"/>
      <c r="AJ214" s="275"/>
    </row>
    <row r="215" spans="1:45" x14ac:dyDescent="0.25">
      <c r="A215" s="634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5"/>
      <c r="M215" s="635"/>
      <c r="N215" s="636"/>
      <c r="O215" s="23"/>
      <c r="W215" s="103" t="s">
        <v>191</v>
      </c>
      <c r="Y215" s="24"/>
      <c r="Z215" t="s">
        <v>192</v>
      </c>
      <c r="AA215" s="610">
        <v>9.9750000000000005E-2</v>
      </c>
      <c r="AB215" s="610"/>
      <c r="AC215" s="608" t="e">
        <f ca="1">AC211*AA215</f>
        <v>#VALUE!</v>
      </c>
      <c r="AD215" s="275"/>
      <c r="AE215" s="275"/>
      <c r="AF215" s="275"/>
      <c r="AG215" s="275"/>
      <c r="AH215" s="275"/>
      <c r="AI215" s="275"/>
      <c r="AJ215" s="275"/>
    </row>
    <row r="216" spans="1:45" ht="10.5" customHeight="1" thickBot="1" x14ac:dyDescent="0.3">
      <c r="A216" s="634"/>
      <c r="B216" s="635"/>
      <c r="C216" s="635"/>
      <c r="D216" s="635"/>
      <c r="E216" s="635"/>
      <c r="F216" s="635"/>
      <c r="G216" s="635"/>
      <c r="H216" s="635"/>
      <c r="I216" s="635"/>
      <c r="J216" s="635"/>
      <c r="K216" s="635"/>
      <c r="L216" s="635"/>
      <c r="M216" s="635"/>
      <c r="N216" s="636"/>
      <c r="O216" s="23"/>
      <c r="Y216" s="24"/>
    </row>
    <row r="217" spans="1:45" ht="15.75" thickBot="1" x14ac:dyDescent="0.3">
      <c r="A217" s="634"/>
      <c r="B217" s="635"/>
      <c r="C217" s="635"/>
      <c r="D217" s="635"/>
      <c r="E217" s="635"/>
      <c r="F217" s="635"/>
      <c r="G217" s="635"/>
      <c r="H217" s="635"/>
      <c r="I217" s="635"/>
      <c r="J217" s="635"/>
      <c r="K217" s="635"/>
      <c r="L217" s="635"/>
      <c r="M217" s="635"/>
      <c r="N217" s="636"/>
      <c r="O217" s="23"/>
      <c r="P217" s="4"/>
      <c r="Q217" s="4"/>
      <c r="R217" s="4"/>
      <c r="S217" s="4"/>
      <c r="T217" s="4"/>
      <c r="U217" s="4"/>
      <c r="V217" s="4"/>
      <c r="W217" s="4"/>
      <c r="X217" s="4"/>
      <c r="Y217" s="24"/>
      <c r="AC217" s="628" t="e">
        <f ca="1">AC211+AC214+AC215</f>
        <v>#VALUE!</v>
      </c>
      <c r="AD217" s="629"/>
      <c r="AE217" s="629"/>
      <c r="AF217" s="629"/>
      <c r="AG217" s="629"/>
      <c r="AH217" s="629"/>
      <c r="AI217" s="629"/>
      <c r="AJ217" s="630"/>
    </row>
    <row r="218" spans="1:45" ht="15.75" thickBot="1" x14ac:dyDescent="0.3">
      <c r="A218" s="637"/>
      <c r="B218" s="638"/>
      <c r="C218" s="638"/>
      <c r="D218" s="638"/>
      <c r="E218" s="638"/>
      <c r="F218" s="638"/>
      <c r="G218" s="638"/>
      <c r="H218" s="638"/>
      <c r="I218" s="638"/>
      <c r="J218" s="638"/>
      <c r="K218" s="638"/>
      <c r="L218" s="638"/>
      <c r="M218" s="638"/>
      <c r="N218" s="639"/>
      <c r="O218" s="27"/>
      <c r="P218" s="28"/>
      <c r="Q218" s="28"/>
      <c r="R218" s="28"/>
      <c r="S218" s="28"/>
      <c r="T218" s="28"/>
      <c r="U218" s="28"/>
      <c r="V218" s="28"/>
      <c r="W218" s="104" t="s">
        <v>193</v>
      </c>
      <c r="X218" s="28"/>
      <c r="Y218" s="29"/>
      <c r="AC218" s="631"/>
      <c r="AD218" s="632"/>
      <c r="AE218" s="632"/>
      <c r="AF218" s="632"/>
      <c r="AG218" s="632"/>
      <c r="AH218" s="632"/>
      <c r="AI218" s="632"/>
      <c r="AJ218" s="633"/>
    </row>
  </sheetData>
  <sheetProtection algorithmName="SHA-512" hashValue="5Ne5FXWel2DJKDLjTYDLOmhaKQMHZtgqNanm7/8k0oAih46g5Hz8FAczEX2sl8iZmvanJXOPM2kSzmFTig123A==" saltValue="YozFfBEVXfNz5GWiyMEGVQ==" spinCount="100000" sheet="1" selectLockedCells="1"/>
  <protectedRanges>
    <protectedRange sqref="AG3:AK3 G3:Z4 H5:J5 AF5:AK6 W8:AK8 AB9:AK9 R9:V9 X9:Z9 W10:AK10 W12:AK12 W14:AK14 W16:AK16 AB11:AK11 R11:V11 X11:Z11 AB13:AK13 R13:V13 X13:Z13 AB15:AK15 R15:V15 X15:Z15 AB17:AK17 R17:V17 X17:Z17" name="Page 1 Autorisation"/>
  </protectedRanges>
  <mergeCells count="862">
    <mergeCell ref="A47:AK51"/>
    <mergeCell ref="B85:C86"/>
    <mergeCell ref="D85:K86"/>
    <mergeCell ref="L163:R163"/>
    <mergeCell ref="S163:Y163"/>
    <mergeCell ref="C173:J173"/>
    <mergeCell ref="B175:J175"/>
    <mergeCell ref="B176:J176"/>
    <mergeCell ref="B177:J177"/>
    <mergeCell ref="Z157:AC157"/>
    <mergeCell ref="Z145:AC145"/>
    <mergeCell ref="Z144:AC144"/>
    <mergeCell ref="Z167:AC167"/>
    <mergeCell ref="C147:J147"/>
    <mergeCell ref="C146:J146"/>
    <mergeCell ref="C152:J152"/>
    <mergeCell ref="C153:J153"/>
    <mergeCell ref="C172:J172"/>
    <mergeCell ref="L160:R160"/>
    <mergeCell ref="S160:Y160"/>
    <mergeCell ref="L161:R161"/>
    <mergeCell ref="S161:Y161"/>
    <mergeCell ref="L162:R162"/>
    <mergeCell ref="S162:Y162"/>
    <mergeCell ref="L154:R154"/>
    <mergeCell ref="S154:Y154"/>
    <mergeCell ref="L155:R155"/>
    <mergeCell ref="A216:N218"/>
    <mergeCell ref="W209:AA209"/>
    <mergeCell ref="W208:AA208"/>
    <mergeCell ref="O210:Y211"/>
    <mergeCell ref="A202:N202"/>
    <mergeCell ref="Z211:AB212"/>
    <mergeCell ref="W206:AA206"/>
    <mergeCell ref="A210:N212"/>
    <mergeCell ref="A207:N209"/>
    <mergeCell ref="A203:N204"/>
    <mergeCell ref="A213:N215"/>
    <mergeCell ref="P206:V206"/>
    <mergeCell ref="A205:N206"/>
    <mergeCell ref="C170:J170"/>
    <mergeCell ref="C171:J171"/>
    <mergeCell ref="B154:J154"/>
    <mergeCell ref="B167:J167"/>
    <mergeCell ref="C156:J156"/>
    <mergeCell ref="C157:J157"/>
    <mergeCell ref="C158:J158"/>
    <mergeCell ref="C160:J160"/>
    <mergeCell ref="C161:J161"/>
    <mergeCell ref="C162:J162"/>
    <mergeCell ref="C163:J163"/>
    <mergeCell ref="C165:J165"/>
    <mergeCell ref="B168:J168"/>
    <mergeCell ref="AC217:AJ218"/>
    <mergeCell ref="AC21:AD21"/>
    <mergeCell ref="Q24:W24"/>
    <mergeCell ref="Z142:AK142"/>
    <mergeCell ref="Z182:AK182"/>
    <mergeCell ref="AB130:AE130"/>
    <mergeCell ref="AG130:AJ130"/>
    <mergeCell ref="AE100:AJ100"/>
    <mergeCell ref="AE109:AJ109"/>
    <mergeCell ref="AE110:AJ110"/>
    <mergeCell ref="AE111:AJ111"/>
    <mergeCell ref="AE113:AJ113"/>
    <mergeCell ref="X90:AC90"/>
    <mergeCell ref="T87:X87"/>
    <mergeCell ref="T88:X88"/>
    <mergeCell ref="AE93:AJ93"/>
    <mergeCell ref="AE94:AJ94"/>
    <mergeCell ref="AE95:AJ95"/>
    <mergeCell ref="R110:W110"/>
    <mergeCell ref="AE85:AE88"/>
    <mergeCell ref="AB122:AE122"/>
    <mergeCell ref="AG122:AJ122"/>
    <mergeCell ref="AC214:AJ214"/>
    <mergeCell ref="AC215:AJ215"/>
    <mergeCell ref="AA214:AB214"/>
    <mergeCell ref="AA215:AB215"/>
    <mergeCell ref="AC200:AJ200"/>
    <mergeCell ref="AC201:AJ201"/>
    <mergeCell ref="AC202:AJ202"/>
    <mergeCell ref="AC203:AJ203"/>
    <mergeCell ref="AC204:AJ204"/>
    <mergeCell ref="AC205:AJ205"/>
    <mergeCell ref="AC206:AJ206"/>
    <mergeCell ref="AC211:AJ212"/>
    <mergeCell ref="AC208:AJ208"/>
    <mergeCell ref="AC209:AJ209"/>
    <mergeCell ref="AC198:AJ198"/>
    <mergeCell ref="W200:AA200"/>
    <mergeCell ref="W201:AA201"/>
    <mergeCell ref="W202:AA202"/>
    <mergeCell ref="W203:AA203"/>
    <mergeCell ref="W204:AA204"/>
    <mergeCell ref="W205:AA205"/>
    <mergeCell ref="AC188:AJ188"/>
    <mergeCell ref="M117:O117"/>
    <mergeCell ref="R96:W96"/>
    <mergeCell ref="X96:AC96"/>
    <mergeCell ref="AO2:AT2"/>
    <mergeCell ref="AC197:AJ197"/>
    <mergeCell ref="AC192:AJ193"/>
    <mergeCell ref="AC195:AJ195"/>
    <mergeCell ref="AC196:AJ196"/>
    <mergeCell ref="AC186:AJ186"/>
    <mergeCell ref="AE175:AJ175"/>
    <mergeCell ref="AE176:AJ176"/>
    <mergeCell ref="AE177:AJ177"/>
    <mergeCell ref="Z146:AC146"/>
    <mergeCell ref="Z162:AC162"/>
    <mergeCell ref="Z173:AC173"/>
    <mergeCell ref="Z174:AC174"/>
    <mergeCell ref="Z147:AC147"/>
    <mergeCell ref="Z148:AC148"/>
    <mergeCell ref="Z149:AC149"/>
    <mergeCell ref="Z154:AC154"/>
    <mergeCell ref="Z156:AC156"/>
    <mergeCell ref="AH53:AJ53"/>
    <mergeCell ref="S70:Y70"/>
    <mergeCell ref="Z119:AK119"/>
    <mergeCell ref="Z85:AD85"/>
    <mergeCell ref="Z88:AD88"/>
    <mergeCell ref="AE101:AJ101"/>
    <mergeCell ref="AE102:AJ102"/>
    <mergeCell ref="AE103:AJ103"/>
    <mergeCell ref="AE104:AJ104"/>
    <mergeCell ref="AE105:AJ105"/>
    <mergeCell ref="AE106:AJ106"/>
    <mergeCell ref="AE107:AJ107"/>
    <mergeCell ref="AE90:AJ90"/>
    <mergeCell ref="AE117:AJ117"/>
    <mergeCell ref="AE91:AJ91"/>
    <mergeCell ref="AE92:AJ92"/>
    <mergeCell ref="X109:AC109"/>
    <mergeCell ref="X101:AC101"/>
    <mergeCell ref="AE108:AJ108"/>
    <mergeCell ref="AF88:AJ88"/>
    <mergeCell ref="AF86:AJ86"/>
    <mergeCell ref="AF87:AJ87"/>
    <mergeCell ref="X105:AC105"/>
    <mergeCell ref="R103:W103"/>
    <mergeCell ref="AE99:AJ99"/>
    <mergeCell ref="R99:W99"/>
    <mergeCell ref="X99:AC99"/>
    <mergeCell ref="X100:AC100"/>
    <mergeCell ref="AG3:AK3"/>
    <mergeCell ref="AE21:AK21"/>
    <mergeCell ref="A2:AK2"/>
    <mergeCell ref="Z82:AK82"/>
    <mergeCell ref="R12:V12"/>
    <mergeCell ref="Y85:Y88"/>
    <mergeCell ref="R91:W91"/>
    <mergeCell ref="AE97:AJ97"/>
    <mergeCell ref="AE98:AJ98"/>
    <mergeCell ref="R98:W98"/>
    <mergeCell ref="X98:AC98"/>
    <mergeCell ref="X91:AC91"/>
    <mergeCell ref="R92:W92"/>
    <mergeCell ref="X97:AC97"/>
    <mergeCell ref="X93:AC93"/>
    <mergeCell ref="AB54:AD54"/>
    <mergeCell ref="R95:W95"/>
    <mergeCell ref="AE56:AG56"/>
    <mergeCell ref="Y58:AA58"/>
    <mergeCell ref="AB58:AD58"/>
    <mergeCell ref="J70:P70"/>
    <mergeCell ref="R102:W102"/>
    <mergeCell ref="X102:AC102"/>
    <mergeCell ref="R100:W100"/>
    <mergeCell ref="R101:W101"/>
    <mergeCell ref="S69:Y69"/>
    <mergeCell ref="Z69:AA69"/>
    <mergeCell ref="Z87:AD87"/>
    <mergeCell ref="B100:K100"/>
    <mergeCell ref="R94:W94"/>
    <mergeCell ref="B91:K91"/>
    <mergeCell ref="B92:K92"/>
    <mergeCell ref="B93:K93"/>
    <mergeCell ref="B94:K94"/>
    <mergeCell ref="B95:K95"/>
    <mergeCell ref="B96:K96"/>
    <mergeCell ref="B97:K97"/>
    <mergeCell ref="B98:K98"/>
    <mergeCell ref="Z86:AD86"/>
    <mergeCell ref="T85:X85"/>
    <mergeCell ref="T86:X86"/>
    <mergeCell ref="AB63:AD63"/>
    <mergeCell ref="Y56:AA56"/>
    <mergeCell ref="V56:X56"/>
    <mergeCell ref="S56:U56"/>
    <mergeCell ref="S65:AA65"/>
    <mergeCell ref="AB65:AJ65"/>
    <mergeCell ref="AE60:AG60"/>
    <mergeCell ref="AH60:AJ60"/>
    <mergeCell ref="S60:U60"/>
    <mergeCell ref="V60:X60"/>
    <mergeCell ref="AE57:AG57"/>
    <mergeCell ref="AB57:AD57"/>
    <mergeCell ref="Y57:AA57"/>
    <mergeCell ref="V57:X57"/>
    <mergeCell ref="S57:U57"/>
    <mergeCell ref="AE58:AG58"/>
    <mergeCell ref="AH58:AJ58"/>
    <mergeCell ref="AB59:AD59"/>
    <mergeCell ref="AE59:AG59"/>
    <mergeCell ref="AB56:AD56"/>
    <mergeCell ref="S58:U58"/>
    <mergeCell ref="V58:X58"/>
    <mergeCell ref="S53:U53"/>
    <mergeCell ref="AE61:AG61"/>
    <mergeCell ref="AH61:AJ61"/>
    <mergeCell ref="AE63:AG63"/>
    <mergeCell ref="AH63:AJ63"/>
    <mergeCell ref="Q68:R68"/>
    <mergeCell ref="S66:Y66"/>
    <mergeCell ref="Z66:AA66"/>
    <mergeCell ref="S67:Y67"/>
    <mergeCell ref="Z67:AA67"/>
    <mergeCell ref="S68:Y68"/>
    <mergeCell ref="Z68:AA68"/>
    <mergeCell ref="AH62:AJ62"/>
    <mergeCell ref="S63:U63"/>
    <mergeCell ref="V63:X63"/>
    <mergeCell ref="Y63:AA63"/>
    <mergeCell ref="AH54:AJ54"/>
    <mergeCell ref="Y60:AA60"/>
    <mergeCell ref="AH55:AJ55"/>
    <mergeCell ref="S54:U54"/>
    <mergeCell ref="S55:U55"/>
    <mergeCell ref="AH57:AJ57"/>
    <mergeCell ref="AB55:AD55"/>
    <mergeCell ref="P58:R58"/>
    <mergeCell ref="B111:K111"/>
    <mergeCell ref="B113:K113"/>
    <mergeCell ref="B103:K103"/>
    <mergeCell ref="AE167:AJ167"/>
    <mergeCell ref="AE168:AJ168"/>
    <mergeCell ref="AG126:AJ126"/>
    <mergeCell ref="B108:K108"/>
    <mergeCell ref="AE166:AJ166"/>
    <mergeCell ref="Z163:AC163"/>
    <mergeCell ref="Z165:AC165"/>
    <mergeCell ref="Z166:AC166"/>
    <mergeCell ref="AE140:AJ140"/>
    <mergeCell ref="AE151:AJ151"/>
    <mergeCell ref="AE152:AJ152"/>
    <mergeCell ref="B114:K114"/>
    <mergeCell ref="AE158:AJ158"/>
    <mergeCell ref="AE162:AJ162"/>
    <mergeCell ref="AE163:AJ163"/>
    <mergeCell ref="AE164:AJ164"/>
    <mergeCell ref="AE165:AJ165"/>
    <mergeCell ref="AB136:AE136"/>
    <mergeCell ref="AE115:AJ115"/>
    <mergeCell ref="X108:AC108"/>
    <mergeCell ref="R104:W104"/>
    <mergeCell ref="C193:AB193"/>
    <mergeCell ref="AE178:AJ178"/>
    <mergeCell ref="L173:R173"/>
    <mergeCell ref="S173:Y173"/>
    <mergeCell ref="B178:J178"/>
    <mergeCell ref="Z159:AC159"/>
    <mergeCell ref="Z164:AC164"/>
    <mergeCell ref="Z158:AC158"/>
    <mergeCell ref="AE146:AJ146"/>
    <mergeCell ref="AE147:AJ147"/>
    <mergeCell ref="AE148:AJ148"/>
    <mergeCell ref="AE149:AJ149"/>
    <mergeCell ref="AE150:AJ150"/>
    <mergeCell ref="AE153:AJ153"/>
    <mergeCell ref="Z175:AC175"/>
    <mergeCell ref="Z176:AC176"/>
    <mergeCell ref="Z177:AC177"/>
    <mergeCell ref="AE171:AJ171"/>
    <mergeCell ref="AC190:AJ190"/>
    <mergeCell ref="B149:J149"/>
    <mergeCell ref="B150:J150"/>
    <mergeCell ref="C148:J148"/>
    <mergeCell ref="B174:J174"/>
    <mergeCell ref="C166:J166"/>
    <mergeCell ref="AE173:AJ173"/>
    <mergeCell ref="AE174:AJ174"/>
    <mergeCell ref="Z170:AC170"/>
    <mergeCell ref="AG136:AJ136"/>
    <mergeCell ref="AG128:AJ128"/>
    <mergeCell ref="AG134:AJ134"/>
    <mergeCell ref="AB135:AE135"/>
    <mergeCell ref="AG135:AJ135"/>
    <mergeCell ref="C200:I200"/>
    <mergeCell ref="L174:R174"/>
    <mergeCell ref="S174:Y174"/>
    <mergeCell ref="L175:R175"/>
    <mergeCell ref="S175:Y175"/>
    <mergeCell ref="L176:R176"/>
    <mergeCell ref="S176:Y176"/>
    <mergeCell ref="L177:R177"/>
    <mergeCell ref="S177:Y177"/>
    <mergeCell ref="L178:R178"/>
    <mergeCell ref="S178:Y178"/>
    <mergeCell ref="AE180:AJ180"/>
    <mergeCell ref="Z178:AC178"/>
    <mergeCell ref="AC184:AJ184"/>
    <mergeCell ref="C196:AB196"/>
    <mergeCell ref="C195:AB195"/>
    <mergeCell ref="AB134:AE134"/>
    <mergeCell ref="Z171:AC171"/>
    <mergeCell ref="Z172:AC172"/>
    <mergeCell ref="Z169:AC169"/>
    <mergeCell ref="Z168:AC168"/>
    <mergeCell ref="AE144:AJ144"/>
    <mergeCell ref="Z160:AC160"/>
    <mergeCell ref="Z161:AC161"/>
    <mergeCell ref="AE157:AJ157"/>
    <mergeCell ref="AE156:AJ156"/>
    <mergeCell ref="AE161:AJ161"/>
    <mergeCell ref="AE160:AJ160"/>
    <mergeCell ref="AE159:AJ159"/>
    <mergeCell ref="AE155:AJ155"/>
    <mergeCell ref="AE154:AJ154"/>
    <mergeCell ref="AE145:AJ145"/>
    <mergeCell ref="Z151:AC151"/>
    <mergeCell ref="Z155:AC155"/>
    <mergeCell ref="AE169:AJ169"/>
    <mergeCell ref="AE170:AJ170"/>
    <mergeCell ref="AE172:AJ172"/>
    <mergeCell ref="Z150:AC150"/>
    <mergeCell ref="Z152:AC152"/>
    <mergeCell ref="Z153:AC153"/>
    <mergeCell ref="B137:E137"/>
    <mergeCell ref="B138:E138"/>
    <mergeCell ref="M132:Z132"/>
    <mergeCell ref="L130:Z130"/>
    <mergeCell ref="I128:Z128"/>
    <mergeCell ref="I126:Z126"/>
    <mergeCell ref="I124:Z124"/>
    <mergeCell ref="S146:Y146"/>
    <mergeCell ref="B136:U136"/>
    <mergeCell ref="L137:O137"/>
    <mergeCell ref="L138:O138"/>
    <mergeCell ref="I134:Z134"/>
    <mergeCell ref="B145:J145"/>
    <mergeCell ref="S153:Y153"/>
    <mergeCell ref="AB138:AE138"/>
    <mergeCell ref="AG138:AJ138"/>
    <mergeCell ref="AB128:AE128"/>
    <mergeCell ref="A53:B55"/>
    <mergeCell ref="C53:F55"/>
    <mergeCell ref="G53:I55"/>
    <mergeCell ref="J53:L55"/>
    <mergeCell ref="P53:R53"/>
    <mergeCell ref="P54:R54"/>
    <mergeCell ref="P55:R55"/>
    <mergeCell ref="M57:O57"/>
    <mergeCell ref="J57:L57"/>
    <mergeCell ref="G57:I57"/>
    <mergeCell ref="C57:F57"/>
    <mergeCell ref="A57:B57"/>
    <mergeCell ref="C56:F56"/>
    <mergeCell ref="G56:L56"/>
    <mergeCell ref="M54:O54"/>
    <mergeCell ref="M55:O55"/>
    <mergeCell ref="M53:O53"/>
    <mergeCell ref="P56:R56"/>
    <mergeCell ref="M56:O56"/>
    <mergeCell ref="AH56:AJ56"/>
    <mergeCell ref="AK53:AK55"/>
    <mergeCell ref="W8:AK8"/>
    <mergeCell ref="W10:AK10"/>
    <mergeCell ref="W12:AK12"/>
    <mergeCell ref="W14:AK14"/>
    <mergeCell ref="W16:AK16"/>
    <mergeCell ref="U40:Z40"/>
    <mergeCell ref="AE38:AK38"/>
    <mergeCell ref="AA43:AK43"/>
    <mergeCell ref="AE53:AG53"/>
    <mergeCell ref="AE54:AG54"/>
    <mergeCell ref="AE55:AG55"/>
    <mergeCell ref="V32:X32"/>
    <mergeCell ref="Y32:AA32"/>
    <mergeCell ref="AB32:AD32"/>
    <mergeCell ref="AE32:AG32"/>
    <mergeCell ref="AH32:AJ32"/>
    <mergeCell ref="V53:X53"/>
    <mergeCell ref="V54:X54"/>
    <mergeCell ref="V55:X55"/>
    <mergeCell ref="Y53:AA53"/>
    <mergeCell ref="Y54:AA54"/>
    <mergeCell ref="Y55:AA55"/>
    <mergeCell ref="AB53:AD53"/>
    <mergeCell ref="Q44:T44"/>
    <mergeCell ref="AA44:AK44"/>
    <mergeCell ref="V44:Z44"/>
    <mergeCell ref="AE34:AG34"/>
    <mergeCell ref="AH34:AJ34"/>
    <mergeCell ref="Q34:U34"/>
    <mergeCell ref="Q33:U33"/>
    <mergeCell ref="AB33:AD33"/>
    <mergeCell ref="AE33:AG33"/>
    <mergeCell ref="AA5:AE5"/>
    <mergeCell ref="AF5:AK5"/>
    <mergeCell ref="AC20:AD20"/>
    <mergeCell ref="AE20:AK20"/>
    <mergeCell ref="AC23:AD23"/>
    <mergeCell ref="Q21:T21"/>
    <mergeCell ref="A52:AK52"/>
    <mergeCell ref="R14:V14"/>
    <mergeCell ref="H5:J5"/>
    <mergeCell ref="O5:S5"/>
    <mergeCell ref="R8:V8"/>
    <mergeCell ref="R10:V10"/>
    <mergeCell ref="Q8:Q17"/>
    <mergeCell ref="R16:V16"/>
    <mergeCell ref="X26:AK26"/>
    <mergeCell ref="X24:AK24"/>
    <mergeCell ref="U20:AB20"/>
    <mergeCell ref="U21:AB21"/>
    <mergeCell ref="AE23:AK23"/>
    <mergeCell ref="AA6:AE6"/>
    <mergeCell ref="AF6:AK6"/>
    <mergeCell ref="I43:O43"/>
    <mergeCell ref="Q43:Z43"/>
    <mergeCell ref="A42:H42"/>
    <mergeCell ref="I42:O42"/>
    <mergeCell ref="W42:AK42"/>
    <mergeCell ref="Q42:V42"/>
    <mergeCell ref="A41:H41"/>
    <mergeCell ref="I35:O35"/>
    <mergeCell ref="I39:O39"/>
    <mergeCell ref="I40:O40"/>
    <mergeCell ref="Q41:AK41"/>
    <mergeCell ref="U38:Z38"/>
    <mergeCell ref="AA38:AD38"/>
    <mergeCell ref="Q39:T39"/>
    <mergeCell ref="U39:Z39"/>
    <mergeCell ref="Q40:T40"/>
    <mergeCell ref="I41:O41"/>
    <mergeCell ref="AA39:AD39"/>
    <mergeCell ref="AE39:AK39"/>
    <mergeCell ref="AA40:AD40"/>
    <mergeCell ref="AE40:AK40"/>
    <mergeCell ref="A39:H39"/>
    <mergeCell ref="A40:H40"/>
    <mergeCell ref="A36:H36"/>
    <mergeCell ref="Q38:T38"/>
    <mergeCell ref="A38:H38"/>
    <mergeCell ref="A12:H12"/>
    <mergeCell ref="Q19:AK19"/>
    <mergeCell ref="Q26:W26"/>
    <mergeCell ref="A13:H13"/>
    <mergeCell ref="A31:H31"/>
    <mergeCell ref="Q20:T20"/>
    <mergeCell ref="I26:O26"/>
    <mergeCell ref="A15:H15"/>
    <mergeCell ref="A17:H17"/>
    <mergeCell ref="A14:H14"/>
    <mergeCell ref="A20:H20"/>
    <mergeCell ref="A16:H16"/>
    <mergeCell ref="A28:AK28"/>
    <mergeCell ref="Y31:AA31"/>
    <mergeCell ref="V31:X31"/>
    <mergeCell ref="Q22:T22"/>
    <mergeCell ref="Q23:T23"/>
    <mergeCell ref="U22:AK22"/>
    <mergeCell ref="AH59:AJ59"/>
    <mergeCell ref="AB60:AD60"/>
    <mergeCell ref="M62:O62"/>
    <mergeCell ref="P62:R62"/>
    <mergeCell ref="S62:U62"/>
    <mergeCell ref="V62:X62"/>
    <mergeCell ref="Y62:AA62"/>
    <mergeCell ref="M59:O59"/>
    <mergeCell ref="P59:R59"/>
    <mergeCell ref="S59:U59"/>
    <mergeCell ref="V59:X59"/>
    <mergeCell ref="Y59:AA59"/>
    <mergeCell ref="AB62:AD62"/>
    <mergeCell ref="AE62:AG62"/>
    <mergeCell ref="S61:U61"/>
    <mergeCell ref="V61:X61"/>
    <mergeCell ref="Y61:AA61"/>
    <mergeCell ref="AB61:AD61"/>
    <mergeCell ref="A56:B56"/>
    <mergeCell ref="A65:I65"/>
    <mergeCell ref="J65:R65"/>
    <mergeCell ref="P60:R60"/>
    <mergeCell ref="M60:O60"/>
    <mergeCell ref="M61:O61"/>
    <mergeCell ref="P61:R61"/>
    <mergeCell ref="M63:O63"/>
    <mergeCell ref="P63:R63"/>
    <mergeCell ref="C58:F58"/>
    <mergeCell ref="G58:I58"/>
    <mergeCell ref="J58:L58"/>
    <mergeCell ref="M58:O58"/>
    <mergeCell ref="A58:B58"/>
    <mergeCell ref="P57:R57"/>
    <mergeCell ref="A62:B62"/>
    <mergeCell ref="C62:F62"/>
    <mergeCell ref="G62:I62"/>
    <mergeCell ref="A59:B59"/>
    <mergeCell ref="C59:F59"/>
    <mergeCell ref="G59:I59"/>
    <mergeCell ref="J59:L59"/>
    <mergeCell ref="A63:B63"/>
    <mergeCell ref="C63:F63"/>
    <mergeCell ref="G63:I63"/>
    <mergeCell ref="J63:L63"/>
    <mergeCell ref="A60:B60"/>
    <mergeCell ref="C60:F60"/>
    <mergeCell ref="G60:I60"/>
    <mergeCell ref="J60:L60"/>
    <mergeCell ref="A61:B61"/>
    <mergeCell ref="G61:I61"/>
    <mergeCell ref="J61:L61"/>
    <mergeCell ref="C61:F61"/>
    <mergeCell ref="J62:L62"/>
    <mergeCell ref="A80:G80"/>
    <mergeCell ref="H80:I80"/>
    <mergeCell ref="A74:I74"/>
    <mergeCell ref="Q66:R66"/>
    <mergeCell ref="J67:P67"/>
    <mergeCell ref="Q67:R67"/>
    <mergeCell ref="J68:P68"/>
    <mergeCell ref="Q70:R70"/>
    <mergeCell ref="J71:P71"/>
    <mergeCell ref="Q71:R71"/>
    <mergeCell ref="J69:P69"/>
    <mergeCell ref="Q69:R69"/>
    <mergeCell ref="A69:G69"/>
    <mergeCell ref="H69:I69"/>
    <mergeCell ref="J66:P66"/>
    <mergeCell ref="H72:I72"/>
    <mergeCell ref="A73:G73"/>
    <mergeCell ref="H73:I73"/>
    <mergeCell ref="J72:P72"/>
    <mergeCell ref="Q72:R72"/>
    <mergeCell ref="J73:P73"/>
    <mergeCell ref="Q73:R73"/>
    <mergeCell ref="A79:G79"/>
    <mergeCell ref="H79:I79"/>
    <mergeCell ref="A75:G75"/>
    <mergeCell ref="H75:I75"/>
    <mergeCell ref="A76:G76"/>
    <mergeCell ref="H76:I76"/>
    <mergeCell ref="A77:G77"/>
    <mergeCell ref="H77:I77"/>
    <mergeCell ref="J74:R74"/>
    <mergeCell ref="J76:P76"/>
    <mergeCell ref="Q76:R76"/>
    <mergeCell ref="A78:G78"/>
    <mergeCell ref="H78:I78"/>
    <mergeCell ref="B90:K90"/>
    <mergeCell ref="AI66:AJ66"/>
    <mergeCell ref="AB67:AH67"/>
    <mergeCell ref="AI67:AJ67"/>
    <mergeCell ref="AB68:AH68"/>
    <mergeCell ref="S79:Y79"/>
    <mergeCell ref="Z79:AA79"/>
    <mergeCell ref="AB79:AH79"/>
    <mergeCell ref="AI79:AJ79"/>
    <mergeCell ref="J80:P80"/>
    <mergeCell ref="Q80:R80"/>
    <mergeCell ref="Z72:AA72"/>
    <mergeCell ref="S73:Y73"/>
    <mergeCell ref="Z73:AA73"/>
    <mergeCell ref="S74:AA74"/>
    <mergeCell ref="S75:Y75"/>
    <mergeCell ref="Z75:AA75"/>
    <mergeCell ref="AB78:AH78"/>
    <mergeCell ref="AI78:AJ78"/>
    <mergeCell ref="S80:Y80"/>
    <mergeCell ref="Z80:AA80"/>
    <mergeCell ref="AB75:AH75"/>
    <mergeCell ref="B109:K109"/>
    <mergeCell ref="L92:M92"/>
    <mergeCell ref="J81:P81"/>
    <mergeCell ref="Q81:R81"/>
    <mergeCell ref="L93:M93"/>
    <mergeCell ref="R108:W108"/>
    <mergeCell ref="R90:W90"/>
    <mergeCell ref="S81:Y81"/>
    <mergeCell ref="B107:K107"/>
    <mergeCell ref="B102:K102"/>
    <mergeCell ref="L105:M105"/>
    <mergeCell ref="N105:Q105"/>
    <mergeCell ref="X104:AC104"/>
    <mergeCell ref="L103:M103"/>
    <mergeCell ref="N103:Q103"/>
    <mergeCell ref="L104:M104"/>
    <mergeCell ref="N104:Q104"/>
    <mergeCell ref="X103:AC103"/>
    <mergeCell ref="B104:K104"/>
    <mergeCell ref="R105:W105"/>
    <mergeCell ref="B105:K105"/>
    <mergeCell ref="B106:K106"/>
    <mergeCell ref="R106:W106"/>
    <mergeCell ref="X106:AC106"/>
    <mergeCell ref="B101:K101"/>
    <mergeCell ref="B99:K99"/>
    <mergeCell ref="N110:Q110"/>
    <mergeCell ref="AB126:AE126"/>
    <mergeCell ref="AB121:AE121"/>
    <mergeCell ref="AG121:AJ121"/>
    <mergeCell ref="AG132:AJ132"/>
    <mergeCell ref="AE114:AJ114"/>
    <mergeCell ref="B115:K115"/>
    <mergeCell ref="R115:W115"/>
    <mergeCell ref="X115:AC115"/>
    <mergeCell ref="X113:AC113"/>
    <mergeCell ref="L114:M114"/>
    <mergeCell ref="N114:Q114"/>
    <mergeCell ref="AB132:AE132"/>
    <mergeCell ref="L111:M111"/>
    <mergeCell ref="N111:Q111"/>
    <mergeCell ref="L113:M113"/>
    <mergeCell ref="AE112:AJ112"/>
    <mergeCell ref="L115:M115"/>
    <mergeCell ref="N115:Q115"/>
    <mergeCell ref="AG124:AJ124"/>
    <mergeCell ref="B110:K110"/>
    <mergeCell ref="X111:AC111"/>
    <mergeCell ref="AB124:AE124"/>
    <mergeCell ref="R111:W111"/>
    <mergeCell ref="A46:O46"/>
    <mergeCell ref="I45:O45"/>
    <mergeCell ref="B45:G45"/>
    <mergeCell ref="A43:H43"/>
    <mergeCell ref="N92:Q92"/>
    <mergeCell ref="J77:P77"/>
    <mergeCell ref="Q77:R77"/>
    <mergeCell ref="J78:P78"/>
    <mergeCell ref="Q78:R78"/>
    <mergeCell ref="A81:G81"/>
    <mergeCell ref="H81:I81"/>
    <mergeCell ref="H66:I66"/>
    <mergeCell ref="A66:G66"/>
    <mergeCell ref="A67:G67"/>
    <mergeCell ref="H67:I67"/>
    <mergeCell ref="A68:G68"/>
    <mergeCell ref="H68:I68"/>
    <mergeCell ref="J75:P75"/>
    <mergeCell ref="Q75:R75"/>
    <mergeCell ref="A70:G70"/>
    <mergeCell ref="H70:I70"/>
    <mergeCell ref="A71:G71"/>
    <mergeCell ref="H71:I71"/>
    <mergeCell ref="A72:G72"/>
    <mergeCell ref="N113:Q113"/>
    <mergeCell ref="R109:W109"/>
    <mergeCell ref="L98:M98"/>
    <mergeCell ref="N98:Q98"/>
    <mergeCell ref="AI68:AJ68"/>
    <mergeCell ref="AB69:AH69"/>
    <mergeCell ref="AI69:AJ69"/>
    <mergeCell ref="AB70:AH70"/>
    <mergeCell ref="S76:Y76"/>
    <mergeCell ref="Z76:AA76"/>
    <mergeCell ref="S77:Y77"/>
    <mergeCell ref="Z77:AA77"/>
    <mergeCell ref="S78:Y78"/>
    <mergeCell ref="Z78:AA78"/>
    <mergeCell ref="L99:M99"/>
    <mergeCell ref="N99:Q99"/>
    <mergeCell ref="L100:M100"/>
    <mergeCell ref="N100:Q100"/>
    <mergeCell ref="L101:M101"/>
    <mergeCell ref="N101:Q101"/>
    <mergeCell ref="L102:M102"/>
    <mergeCell ref="N102:Q102"/>
    <mergeCell ref="X110:AC110"/>
    <mergeCell ref="L110:M110"/>
    <mergeCell ref="G4:Z4"/>
    <mergeCell ref="I38:O38"/>
    <mergeCell ref="I37:O37"/>
    <mergeCell ref="V35:X35"/>
    <mergeCell ref="Q35:U35"/>
    <mergeCell ref="A35:H35"/>
    <mergeCell ref="V34:X34"/>
    <mergeCell ref="Y34:AA34"/>
    <mergeCell ref="Q32:U32"/>
    <mergeCell ref="V33:X33"/>
    <mergeCell ref="Y33:AA33"/>
    <mergeCell ref="A18:H18"/>
    <mergeCell ref="A21:H21"/>
    <mergeCell ref="A23:H23"/>
    <mergeCell ref="A24:H24"/>
    <mergeCell ref="Q37:AK37"/>
    <mergeCell ref="I9:O9"/>
    <mergeCell ref="A10:H10"/>
    <mergeCell ref="A11:H11"/>
    <mergeCell ref="AH33:AJ33"/>
    <mergeCell ref="A37:H37"/>
    <mergeCell ref="I36:O36"/>
    <mergeCell ref="A8:H8"/>
    <mergeCell ref="G3:Z3"/>
    <mergeCell ref="A4:F4"/>
    <mergeCell ref="A3:F3"/>
    <mergeCell ref="AA3:AF3"/>
    <mergeCell ref="A22:H22"/>
    <mergeCell ref="A19:H19"/>
    <mergeCell ref="I33:O33"/>
    <mergeCell ref="I34:O34"/>
    <mergeCell ref="I8:O8"/>
    <mergeCell ref="A6:P6"/>
    <mergeCell ref="U23:AB23"/>
    <mergeCell ref="AB34:AD34"/>
    <mergeCell ref="Q30:AK30"/>
    <mergeCell ref="A30:O30"/>
    <mergeCell ref="A33:H33"/>
    <mergeCell ref="A34:H34"/>
    <mergeCell ref="AH31:AJ31"/>
    <mergeCell ref="AE31:AG31"/>
    <mergeCell ref="AB31:AD31"/>
    <mergeCell ref="I31:O31"/>
    <mergeCell ref="A32:H32"/>
    <mergeCell ref="I32:O32"/>
    <mergeCell ref="A26:H26"/>
    <mergeCell ref="A9:H9"/>
    <mergeCell ref="A192:B198"/>
    <mergeCell ref="I122:Z122"/>
    <mergeCell ref="P138:U138"/>
    <mergeCell ref="P137:U137"/>
    <mergeCell ref="F138:K138"/>
    <mergeCell ref="F137:K137"/>
    <mergeCell ref="M85:M88"/>
    <mergeCell ref="N85:R85"/>
    <mergeCell ref="N86:R86"/>
    <mergeCell ref="N87:R87"/>
    <mergeCell ref="N88:R88"/>
    <mergeCell ref="L147:R147"/>
    <mergeCell ref="S147:Y147"/>
    <mergeCell ref="L148:R148"/>
    <mergeCell ref="S148:Y148"/>
    <mergeCell ref="L149:R149"/>
    <mergeCell ref="S149:Y149"/>
    <mergeCell ref="L150:R150"/>
    <mergeCell ref="S150:Y150"/>
    <mergeCell ref="L151:R151"/>
    <mergeCell ref="S151:Y151"/>
    <mergeCell ref="L152:R152"/>
    <mergeCell ref="S152:Y152"/>
    <mergeCell ref="AB66:AH66"/>
    <mergeCell ref="R97:W97"/>
    <mergeCell ref="L106:M106"/>
    <mergeCell ref="N106:Q106"/>
    <mergeCell ref="Z81:AA81"/>
    <mergeCell ref="L90:M90"/>
    <mergeCell ref="N90:Q90"/>
    <mergeCell ref="L91:M91"/>
    <mergeCell ref="N91:Q91"/>
    <mergeCell ref="AB71:AH71"/>
    <mergeCell ref="AB72:AH72"/>
    <mergeCell ref="AB73:AH73"/>
    <mergeCell ref="L96:M96"/>
    <mergeCell ref="N96:Q96"/>
    <mergeCell ref="L97:M97"/>
    <mergeCell ref="N97:Q97"/>
    <mergeCell ref="J79:P79"/>
    <mergeCell ref="Q79:R79"/>
    <mergeCell ref="AB80:AH80"/>
    <mergeCell ref="AB77:AH77"/>
    <mergeCell ref="AB81:AH81"/>
    <mergeCell ref="N94:Q94"/>
    <mergeCell ref="X92:AC92"/>
    <mergeCell ref="R93:W93"/>
    <mergeCell ref="L108:M108"/>
    <mergeCell ref="N108:Q108"/>
    <mergeCell ref="N93:Q93"/>
    <mergeCell ref="L94:M94"/>
    <mergeCell ref="AI70:AJ70"/>
    <mergeCell ref="AI71:AJ71"/>
    <mergeCell ref="AI76:AJ76"/>
    <mergeCell ref="AI77:AJ77"/>
    <mergeCell ref="AI81:AJ81"/>
    <mergeCell ref="AI80:AJ80"/>
    <mergeCell ref="AE96:AJ96"/>
    <mergeCell ref="L95:M95"/>
    <mergeCell ref="N95:Q95"/>
    <mergeCell ref="Z70:AA70"/>
    <mergeCell ref="AI73:AJ73"/>
    <mergeCell ref="AB74:AJ74"/>
    <mergeCell ref="AI72:AJ72"/>
    <mergeCell ref="S71:Y71"/>
    <mergeCell ref="Z71:AA71"/>
    <mergeCell ref="S72:Y72"/>
    <mergeCell ref="AI75:AJ75"/>
    <mergeCell ref="AB76:AH76"/>
    <mergeCell ref="AF85:AJ85"/>
    <mergeCell ref="S85:S88"/>
    <mergeCell ref="AM200:AO201"/>
    <mergeCell ref="Y9:AB9"/>
    <mergeCell ref="AC9:AK9"/>
    <mergeCell ref="R9:X9"/>
    <mergeCell ref="R11:X11"/>
    <mergeCell ref="Y11:AB11"/>
    <mergeCell ref="AC11:AK11"/>
    <mergeCell ref="R13:X13"/>
    <mergeCell ref="Y13:AB13"/>
    <mergeCell ref="AC13:AK13"/>
    <mergeCell ref="R15:X15"/>
    <mergeCell ref="Y15:AB15"/>
    <mergeCell ref="AC15:AK15"/>
    <mergeCell ref="R17:X17"/>
    <mergeCell ref="Y17:AB17"/>
    <mergeCell ref="AC17:AK17"/>
    <mergeCell ref="C192:AB192"/>
    <mergeCell ref="C198:AB198"/>
    <mergeCell ref="C197:AB197"/>
    <mergeCell ref="L144:R144"/>
    <mergeCell ref="S144:Y144"/>
    <mergeCell ref="L145:R145"/>
    <mergeCell ref="S145:Y145"/>
    <mergeCell ref="L146:R146"/>
    <mergeCell ref="X94:AC94"/>
    <mergeCell ref="A44:H44"/>
    <mergeCell ref="I44:O44"/>
    <mergeCell ref="L169:R169"/>
    <mergeCell ref="S169:Y169"/>
    <mergeCell ref="L158:R158"/>
    <mergeCell ref="S158:Y158"/>
    <mergeCell ref="L159:R159"/>
    <mergeCell ref="S159:Y159"/>
    <mergeCell ref="B112:K112"/>
    <mergeCell ref="L112:M112"/>
    <mergeCell ref="N112:Q112"/>
    <mergeCell ref="R112:W112"/>
    <mergeCell ref="X112:AC112"/>
    <mergeCell ref="R114:W114"/>
    <mergeCell ref="X114:AC114"/>
    <mergeCell ref="R113:W113"/>
    <mergeCell ref="L153:R153"/>
    <mergeCell ref="L109:M109"/>
    <mergeCell ref="N109:Q109"/>
    <mergeCell ref="X95:AC95"/>
    <mergeCell ref="M84:AJ84"/>
    <mergeCell ref="L107:M107"/>
    <mergeCell ref="N107:Q107"/>
    <mergeCell ref="AM86:AN86"/>
    <mergeCell ref="S6:Y6"/>
    <mergeCell ref="R107:AC107"/>
    <mergeCell ref="L170:R170"/>
    <mergeCell ref="S170:Y170"/>
    <mergeCell ref="L171:R171"/>
    <mergeCell ref="S171:Y171"/>
    <mergeCell ref="L172:R172"/>
    <mergeCell ref="S172:Y172"/>
    <mergeCell ref="L164:R164"/>
    <mergeCell ref="S164:Y164"/>
    <mergeCell ref="L165:R165"/>
    <mergeCell ref="S165:Y165"/>
    <mergeCell ref="L166:R166"/>
    <mergeCell ref="S166:Y166"/>
    <mergeCell ref="L167:R167"/>
    <mergeCell ref="S167:Y167"/>
    <mergeCell ref="L168:R168"/>
    <mergeCell ref="S168:Y168"/>
    <mergeCell ref="S155:Y155"/>
    <mergeCell ref="L156:R156"/>
    <mergeCell ref="S156:Y156"/>
    <mergeCell ref="L157:R157"/>
    <mergeCell ref="S157:Y157"/>
  </mergeCells>
  <phoneticPr fontId="53" type="noConversion"/>
  <conditionalFormatting sqref="A149:B150 K149:K150 AE150">
    <cfRule type="expression" dxfId="45" priority="73">
      <formula>$K149=FALSE</formula>
    </cfRule>
  </conditionalFormatting>
  <conditionalFormatting sqref="A154:B154 K154">
    <cfRule type="expression" dxfId="44" priority="72">
      <formula>$K154=FALSE</formula>
    </cfRule>
  </conditionalFormatting>
  <conditionalFormatting sqref="A167:B168 K167:K168">
    <cfRule type="expression" dxfId="43" priority="71">
      <formula>$K167=FALSE</formula>
    </cfRule>
  </conditionalFormatting>
  <conditionalFormatting sqref="A174:B178 K174:K178">
    <cfRule type="expression" dxfId="42" priority="70">
      <formula>$K174=FALSE</formula>
    </cfRule>
  </conditionalFormatting>
  <conditionalFormatting sqref="A44:H44">
    <cfRule type="expression" dxfId="41" priority="26">
      <formula>$AM$44=3</formula>
    </cfRule>
  </conditionalFormatting>
  <conditionalFormatting sqref="A146:K148">
    <cfRule type="expression" dxfId="40" priority="80">
      <formula>$K146=FALSE</formula>
    </cfRule>
  </conditionalFormatting>
  <conditionalFormatting sqref="A152:K153">
    <cfRule type="expression" dxfId="39" priority="79">
      <formula>$K152=FALSE</formula>
    </cfRule>
  </conditionalFormatting>
  <conditionalFormatting sqref="A156:K158">
    <cfRule type="expression" dxfId="38" priority="78">
      <formula>$K156=FALSE</formula>
    </cfRule>
  </conditionalFormatting>
  <conditionalFormatting sqref="A160:K163">
    <cfRule type="expression" dxfId="37" priority="77">
      <formula>$K160=FALSE</formula>
    </cfRule>
  </conditionalFormatting>
  <conditionalFormatting sqref="A165:K166">
    <cfRule type="expression" dxfId="36" priority="76">
      <formula>$K165=FALSE</formula>
    </cfRule>
  </conditionalFormatting>
  <conditionalFormatting sqref="A170:K173">
    <cfRule type="expression" dxfId="35" priority="75">
      <formula>$K170=FALSE</formula>
    </cfRule>
  </conditionalFormatting>
  <conditionalFormatting sqref="B91:K115">
    <cfRule type="expression" dxfId="34" priority="86">
      <formula>$AE91=0</formula>
    </cfRule>
  </conditionalFormatting>
  <conditionalFormatting sqref="B113:K115 R113:AC113 R115:AC115">
    <cfRule type="expression" dxfId="33" priority="91">
      <formula>$AM$8=7</formula>
    </cfRule>
  </conditionalFormatting>
  <conditionalFormatting sqref="L146:L178 S146:S178">
    <cfRule type="expression" dxfId="32" priority="35">
      <formula>$K146=FALSE</formula>
    </cfRule>
  </conditionalFormatting>
  <conditionalFormatting sqref="L111:M111">
    <cfRule type="expression" dxfId="31" priority="1">
      <formula>$AE111=0</formula>
    </cfRule>
  </conditionalFormatting>
  <conditionalFormatting sqref="M53:AJ53">
    <cfRule type="expression" dxfId="30" priority="4">
      <formula>M53="Nom"</formula>
    </cfRule>
  </conditionalFormatting>
  <conditionalFormatting sqref="M54:AJ54">
    <cfRule type="expression" dxfId="29" priority="3">
      <formula>M54="Détail"</formula>
    </cfRule>
  </conditionalFormatting>
  <conditionalFormatting sqref="M55:AJ55">
    <cfRule type="expression" dxfId="28" priority="2">
      <formula>M55="unité"</formula>
    </cfRule>
  </conditionalFormatting>
  <conditionalFormatting sqref="N94:Q101">
    <cfRule type="expression" dxfId="27" priority="40">
      <formula>$AE94=0</formula>
    </cfRule>
  </conditionalFormatting>
  <conditionalFormatting sqref="N108:Q112">
    <cfRule type="expression" dxfId="26" priority="36">
      <formula>$AE108=0</formula>
    </cfRule>
  </conditionalFormatting>
  <conditionalFormatting sqref="N103:W103">
    <cfRule type="expression" dxfId="25" priority="37">
      <formula>$L$103&lt;1</formula>
    </cfRule>
  </conditionalFormatting>
  <conditionalFormatting sqref="N114:AC114">
    <cfRule type="expression" dxfId="24" priority="25">
      <formula>$L$114=FALSE</formula>
    </cfRule>
  </conditionalFormatting>
  <conditionalFormatting sqref="R92:W92">
    <cfRule type="expression" dxfId="23" priority="38">
      <formula>$L$92=FALSE</formula>
    </cfRule>
  </conditionalFormatting>
  <conditionalFormatting sqref="R9:X9">
    <cfRule type="expression" dxfId="22" priority="21">
      <formula>R9="(contact nom)"</formula>
    </cfRule>
  </conditionalFormatting>
  <conditionalFormatting sqref="R11:X11">
    <cfRule type="expression" dxfId="21" priority="14">
      <formula>R11="(contact nom)"</formula>
    </cfRule>
  </conditionalFormatting>
  <conditionalFormatting sqref="R13:X13">
    <cfRule type="expression" dxfId="20" priority="11">
      <formula>R13="(contact nom)"</formula>
    </cfRule>
  </conditionalFormatting>
  <conditionalFormatting sqref="R15:X15">
    <cfRule type="expression" dxfId="19" priority="8">
      <formula>R15="(contact nom)"</formula>
    </cfRule>
  </conditionalFormatting>
  <conditionalFormatting sqref="R17:X17">
    <cfRule type="expression" dxfId="18" priority="5">
      <formula>R17="(contact nom)"</formula>
    </cfRule>
  </conditionalFormatting>
  <conditionalFormatting sqref="R91:AC106 R107 R108:AC115">
    <cfRule type="expression" dxfId="17" priority="39">
      <formula>$L91=FALSE</formula>
    </cfRule>
  </conditionalFormatting>
  <conditionalFormatting sqref="W8:AK8">
    <cfRule type="expression" dxfId="16" priority="24">
      <formula>W8="(Nom - Adresse)"</formula>
    </cfRule>
  </conditionalFormatting>
  <conditionalFormatting sqref="W10:AK10">
    <cfRule type="expression" dxfId="15" priority="20">
      <formula>W10="(Nom - Adresse)"</formula>
    </cfRule>
  </conditionalFormatting>
  <conditionalFormatting sqref="W12:AK12">
    <cfRule type="expression" dxfId="14" priority="19">
      <formula>W12="(Nom - Adresse)"</formula>
    </cfRule>
  </conditionalFormatting>
  <conditionalFormatting sqref="W14:AK14">
    <cfRule type="expression" dxfId="13" priority="18">
      <formula>W14="(Nom - Adresse)"</formula>
    </cfRule>
  </conditionalFormatting>
  <conditionalFormatting sqref="W16:AK16">
    <cfRule type="expression" dxfId="12" priority="17">
      <formula>W16="(Nom - Adresse)"</formula>
    </cfRule>
  </conditionalFormatting>
  <conditionalFormatting sqref="Y9:AB9">
    <cfRule type="expression" dxfId="11" priority="22">
      <formula>Y9="(tel)"</formula>
    </cfRule>
  </conditionalFormatting>
  <conditionalFormatting sqref="Y11:AB11">
    <cfRule type="expression" dxfId="10" priority="15">
      <formula>Y11="(tel)"</formula>
    </cfRule>
  </conditionalFormatting>
  <conditionalFormatting sqref="Y13:AB13">
    <cfRule type="expression" dxfId="9" priority="12">
      <formula>Y13="(tel)"</formula>
    </cfRule>
  </conditionalFormatting>
  <conditionalFormatting sqref="Y15:AB15">
    <cfRule type="expression" dxfId="8" priority="9">
      <formula>Y15="(tel)"</formula>
    </cfRule>
  </conditionalFormatting>
  <conditionalFormatting sqref="Y17:AB17">
    <cfRule type="expression" dxfId="7" priority="6">
      <formula>Y17="(tel)"</formula>
    </cfRule>
  </conditionalFormatting>
  <conditionalFormatting sqref="Z146:AC178 AE146:AJ178">
    <cfRule type="expression" dxfId="6" priority="56">
      <formula>$K146=FALSE</formula>
    </cfRule>
  </conditionalFormatting>
  <conditionalFormatting sqref="AC9:AK9">
    <cfRule type="expression" dxfId="5" priority="23">
      <formula>AC9="(courriel)"</formula>
    </cfRule>
  </conditionalFormatting>
  <conditionalFormatting sqref="AC11:AK11">
    <cfRule type="expression" dxfId="4" priority="16">
      <formula>AC11="(courriel)"</formula>
    </cfRule>
  </conditionalFormatting>
  <conditionalFormatting sqref="AC13:AK13">
    <cfRule type="expression" dxfId="3" priority="13">
      <formula>AC13="(courriel)"</formula>
    </cfRule>
  </conditionalFormatting>
  <conditionalFormatting sqref="AC15:AK15">
    <cfRule type="expression" dxfId="2" priority="10">
      <formula>AC15="(courriel)"</formula>
    </cfRule>
  </conditionalFormatting>
  <conditionalFormatting sqref="AC17:AK17">
    <cfRule type="expression" dxfId="1" priority="7">
      <formula>AC17="(courriel)"</formula>
    </cfRule>
  </conditionalFormatting>
  <conditionalFormatting sqref="AE91:AJ115">
    <cfRule type="expression" dxfId="0" priority="84">
      <formula>$AE91=0</formula>
    </cfRule>
  </conditionalFormatting>
  <pageMargins left="0.25" right="0.25" top="0.75" bottom="0.75" header="0.3" footer="0.3"/>
  <pageSetup scale="96" orientation="landscape" r:id="rId1"/>
  <rowBreaks count="3" manualBreakCount="3">
    <brk id="81" max="36" man="1"/>
    <brk id="118" max="36" man="1"/>
    <brk id="141" max="36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7" r:id="rId4" name="Drop Down 13">
              <controlPr defaultSize="0" autoLine="0" autoPict="0">
                <anchor moveWithCells="1">
                  <from>
                    <xdr:col>8</xdr:col>
                    <xdr:colOff>0</xdr:colOff>
                    <xdr:row>8</xdr:row>
                    <xdr:rowOff>285750</xdr:rowOff>
                  </from>
                  <to>
                    <xdr:col>15</xdr:col>
                    <xdr:colOff>161925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5" name="Drop Down 14">
              <controlPr defaultSize="0" autoLine="0" autoPict="0">
                <anchor moveWithCells="1">
                  <from>
                    <xdr:col>7</xdr:col>
                    <xdr:colOff>247650</xdr:colOff>
                    <xdr:row>10</xdr:row>
                    <xdr:rowOff>9525</xdr:rowOff>
                  </from>
                  <to>
                    <xdr:col>15</xdr:col>
                    <xdr:colOff>161925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6" name="Check Box 28">
              <controlPr defaultSize="0" autoFill="0" autoLine="0" autoPict="0" altText="-">
                <anchor moveWithCells="1">
                  <from>
                    <xdr:col>20</xdr:col>
                    <xdr:colOff>228600</xdr:colOff>
                    <xdr:row>4</xdr:row>
                    <xdr:rowOff>57150</xdr:rowOff>
                  </from>
                  <to>
                    <xdr:col>22</xdr:col>
                    <xdr:colOff>57150</xdr:colOff>
                    <xdr:row>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7" name="Check Box 63">
              <controlPr defaultSize="0" autoFill="0" autoLine="0" autoPict="0">
                <anchor moveWithCells="1">
                  <from>
                    <xdr:col>0</xdr:col>
                    <xdr:colOff>0</xdr:colOff>
                    <xdr:row>90</xdr:row>
                    <xdr:rowOff>0</xdr:rowOff>
                  </from>
                  <to>
                    <xdr:col>1</xdr:col>
                    <xdr:colOff>57150</xdr:colOff>
                    <xdr:row>91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8" name="Check Box 64">
              <controlPr defaultSize="0" autoFill="0" autoLine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1</xdr:col>
                    <xdr:colOff>57150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9" name="Check Box 65">
              <controlPr defaultSize="0" autoFill="0" autoLine="0" autoPict="0">
                <anchor moveWithCells="1">
                  <from>
                    <xdr:col>0</xdr:col>
                    <xdr:colOff>0</xdr:colOff>
                    <xdr:row>92</xdr:row>
                    <xdr:rowOff>0</xdr:rowOff>
                  </from>
                  <to>
                    <xdr:col>1</xdr:col>
                    <xdr:colOff>57150</xdr:colOff>
                    <xdr:row>93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0" name="Check Box 67">
              <controlPr defaultSize="0" autoFill="0" autoLine="0" autoPict="0">
                <anchor moveWithCells="1">
                  <from>
                    <xdr:col>0</xdr:col>
                    <xdr:colOff>0</xdr:colOff>
                    <xdr:row>94</xdr:row>
                    <xdr:rowOff>0</xdr:rowOff>
                  </from>
                  <to>
                    <xdr:col>1</xdr:col>
                    <xdr:colOff>57150</xdr:colOff>
                    <xdr:row>95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1" name="Check Box 68">
              <controlPr defaultSize="0" autoFill="0" autoLine="0" autoPict="0">
                <anchor moveWithCells="1">
                  <from>
                    <xdr:col>0</xdr:col>
                    <xdr:colOff>0</xdr:colOff>
                    <xdr:row>95</xdr:row>
                    <xdr:rowOff>0</xdr:rowOff>
                  </from>
                  <to>
                    <xdr:col>1</xdr:col>
                    <xdr:colOff>57150</xdr:colOff>
                    <xdr:row>96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2" name="Check Box 72">
              <controlPr defaultSize="0" autoFill="0" autoLine="0" autoPict="0">
                <anchor moveWithCells="1">
                  <from>
                    <xdr:col>0</xdr:col>
                    <xdr:colOff>0</xdr:colOff>
                    <xdr:row>105</xdr:row>
                    <xdr:rowOff>0</xdr:rowOff>
                  </from>
                  <to>
                    <xdr:col>1</xdr:col>
                    <xdr:colOff>57150</xdr:colOff>
                    <xdr:row>106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3" name="Check Box 73">
              <controlPr defaultSize="0" autoFill="0" autoLine="0" autoPict="0">
                <anchor moveWithCells="1">
                  <from>
                    <xdr:col>0</xdr:col>
                    <xdr:colOff>0</xdr:colOff>
                    <xdr:row>108</xdr:row>
                    <xdr:rowOff>0</xdr:rowOff>
                  </from>
                  <to>
                    <xdr:col>1</xdr:col>
                    <xdr:colOff>57150</xdr:colOff>
                    <xdr:row>109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4" name="Check Box 74">
              <controlPr defaultSize="0" autoFill="0" autoLine="0" autoPict="0">
                <anchor moveWithCells="1">
                  <from>
                    <xdr:col>0</xdr:col>
                    <xdr:colOff>0</xdr:colOff>
                    <xdr:row>109</xdr:row>
                    <xdr:rowOff>0</xdr:rowOff>
                  </from>
                  <to>
                    <xdr:col>1</xdr:col>
                    <xdr:colOff>57150</xdr:colOff>
                    <xdr:row>110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5" name="Check Box 75">
              <controlPr defaultSize="0" autoFill="0" autoLine="0" autoPict="0">
                <anchor moveWithCells="1">
                  <from>
                    <xdr:col>0</xdr:col>
                    <xdr:colOff>0</xdr:colOff>
                    <xdr:row>112</xdr:row>
                    <xdr:rowOff>0</xdr:rowOff>
                  </from>
                  <to>
                    <xdr:col>1</xdr:col>
                    <xdr:colOff>57150</xdr:colOff>
                    <xdr:row>113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6" name="Check Box 146">
              <controlPr defaultSize="0" autoFill="0" autoLine="0" autoPict="0">
                <anchor moveWithCells="1">
                  <from>
                    <xdr:col>1</xdr:col>
                    <xdr:colOff>9525</xdr:colOff>
                    <xdr:row>144</xdr:row>
                    <xdr:rowOff>152400</xdr:rowOff>
                  </from>
                  <to>
                    <xdr:col>2</xdr:col>
                    <xdr:colOff>66675</xdr:colOff>
                    <xdr:row>146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7" name="Check Box 149">
              <controlPr defaultSize="0" autoFill="0" autoLine="0" autoPict="0">
                <anchor moveWithCells="1">
                  <from>
                    <xdr:col>1</xdr:col>
                    <xdr:colOff>9525</xdr:colOff>
                    <xdr:row>146</xdr:row>
                    <xdr:rowOff>152400</xdr:rowOff>
                  </from>
                  <to>
                    <xdr:col>2</xdr:col>
                    <xdr:colOff>66675</xdr:colOff>
                    <xdr:row>148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8" name="Check Box 150">
              <controlPr defaultSize="0" autoFill="0" autoLine="0" autoPict="0">
                <anchor moveWithCells="1">
                  <from>
                    <xdr:col>0</xdr:col>
                    <xdr:colOff>9525</xdr:colOff>
                    <xdr:row>147</xdr:row>
                    <xdr:rowOff>152400</xdr:rowOff>
                  </from>
                  <to>
                    <xdr:col>1</xdr:col>
                    <xdr:colOff>66675</xdr:colOff>
                    <xdr:row>149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9" name="Check Box 151">
              <controlPr defaultSize="0" autoFill="0" autoLine="0" autoPict="0">
                <anchor moveWithCells="1">
                  <from>
                    <xdr:col>0</xdr:col>
                    <xdr:colOff>9525</xdr:colOff>
                    <xdr:row>148</xdr:row>
                    <xdr:rowOff>152400</xdr:rowOff>
                  </from>
                  <to>
                    <xdr:col>1</xdr:col>
                    <xdr:colOff>66675</xdr:colOff>
                    <xdr:row>150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20" name="Check Box 152">
              <controlPr defaultSize="0" autoFill="0" autoLine="0" autoPict="0">
                <anchor moveWithCells="1">
                  <from>
                    <xdr:col>1</xdr:col>
                    <xdr:colOff>9525</xdr:colOff>
                    <xdr:row>150</xdr:row>
                    <xdr:rowOff>152400</xdr:rowOff>
                  </from>
                  <to>
                    <xdr:col>2</xdr:col>
                    <xdr:colOff>66675</xdr:colOff>
                    <xdr:row>152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21" name="Check Box 153">
              <controlPr defaultSize="0" autoFill="0" autoLine="0" autoPict="0">
                <anchor moveWithCells="1">
                  <from>
                    <xdr:col>1</xdr:col>
                    <xdr:colOff>9525</xdr:colOff>
                    <xdr:row>151</xdr:row>
                    <xdr:rowOff>152400</xdr:rowOff>
                  </from>
                  <to>
                    <xdr:col>2</xdr:col>
                    <xdr:colOff>66675</xdr:colOff>
                    <xdr:row>153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22" name="Check Box 155">
              <controlPr defaultSize="0" autoFill="0" autoLine="0" autoPict="0">
                <anchor moveWithCells="1">
                  <from>
                    <xdr:col>0</xdr:col>
                    <xdr:colOff>9525</xdr:colOff>
                    <xdr:row>152</xdr:row>
                    <xdr:rowOff>152400</xdr:rowOff>
                  </from>
                  <to>
                    <xdr:col>1</xdr:col>
                    <xdr:colOff>66675</xdr:colOff>
                    <xdr:row>154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23" name="Check Box 156">
              <controlPr defaultSize="0" autoFill="0" autoLine="0" autoPict="0">
                <anchor moveWithCells="1">
                  <from>
                    <xdr:col>1</xdr:col>
                    <xdr:colOff>9525</xdr:colOff>
                    <xdr:row>155</xdr:row>
                    <xdr:rowOff>152400</xdr:rowOff>
                  </from>
                  <to>
                    <xdr:col>2</xdr:col>
                    <xdr:colOff>66675</xdr:colOff>
                    <xdr:row>157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24" name="Check Box 157">
              <controlPr defaultSize="0" autoFill="0" autoLine="0" autoPict="0">
                <anchor moveWithCells="1">
                  <from>
                    <xdr:col>1</xdr:col>
                    <xdr:colOff>9525</xdr:colOff>
                    <xdr:row>154</xdr:row>
                    <xdr:rowOff>152400</xdr:rowOff>
                  </from>
                  <to>
                    <xdr:col>2</xdr:col>
                    <xdr:colOff>66675</xdr:colOff>
                    <xdr:row>156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25" name="Check Box 159">
              <controlPr defaultSize="0" autoFill="0" autoLine="0" autoPict="0">
                <anchor moveWithCells="1">
                  <from>
                    <xdr:col>0</xdr:col>
                    <xdr:colOff>9525</xdr:colOff>
                    <xdr:row>176</xdr:row>
                    <xdr:rowOff>152400</xdr:rowOff>
                  </from>
                  <to>
                    <xdr:col>1</xdr:col>
                    <xdr:colOff>66675</xdr:colOff>
                    <xdr:row>178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26" name="Check Box 160">
              <controlPr defaultSize="0" autoFill="0" autoLine="0" autoPict="0">
                <anchor moveWithCells="1">
                  <from>
                    <xdr:col>0</xdr:col>
                    <xdr:colOff>9525</xdr:colOff>
                    <xdr:row>175</xdr:row>
                    <xdr:rowOff>152400</xdr:rowOff>
                  </from>
                  <to>
                    <xdr:col>1</xdr:col>
                    <xdr:colOff>66675</xdr:colOff>
                    <xdr:row>177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27" name="Check Box 161">
              <controlPr defaultSize="0" autoFill="0" autoLine="0" autoPict="0">
                <anchor moveWithCells="1">
                  <from>
                    <xdr:col>0</xdr:col>
                    <xdr:colOff>9525</xdr:colOff>
                    <xdr:row>174</xdr:row>
                    <xdr:rowOff>152400</xdr:rowOff>
                  </from>
                  <to>
                    <xdr:col>1</xdr:col>
                    <xdr:colOff>66675</xdr:colOff>
                    <xdr:row>176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28" name="Check Box 162">
              <controlPr defaultSize="0" autoFill="0" autoLine="0" autoPict="0">
                <anchor moveWithCells="1">
                  <from>
                    <xdr:col>0</xdr:col>
                    <xdr:colOff>9525</xdr:colOff>
                    <xdr:row>173</xdr:row>
                    <xdr:rowOff>152400</xdr:rowOff>
                  </from>
                  <to>
                    <xdr:col>1</xdr:col>
                    <xdr:colOff>66675</xdr:colOff>
                    <xdr:row>175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29" name="Check Box 163">
              <controlPr defaultSize="0" autoFill="0" autoLine="0" autoPict="0">
                <anchor moveWithCells="1">
                  <from>
                    <xdr:col>0</xdr:col>
                    <xdr:colOff>9525</xdr:colOff>
                    <xdr:row>172</xdr:row>
                    <xdr:rowOff>152400</xdr:rowOff>
                  </from>
                  <to>
                    <xdr:col>1</xdr:col>
                    <xdr:colOff>66675</xdr:colOff>
                    <xdr:row>174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30" name="Check Box 164">
              <controlPr defaultSize="0" autoFill="0" autoLine="0" autoPict="0">
                <anchor moveWithCells="1">
                  <from>
                    <xdr:col>1</xdr:col>
                    <xdr:colOff>9525</xdr:colOff>
                    <xdr:row>171</xdr:row>
                    <xdr:rowOff>152400</xdr:rowOff>
                  </from>
                  <to>
                    <xdr:col>2</xdr:col>
                    <xdr:colOff>66675</xdr:colOff>
                    <xdr:row>173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31" name="Check Box 165">
              <controlPr defaultSize="0" autoFill="0" autoLine="0" autoPict="0">
                <anchor moveWithCells="1">
                  <from>
                    <xdr:col>1</xdr:col>
                    <xdr:colOff>9525</xdr:colOff>
                    <xdr:row>170</xdr:row>
                    <xdr:rowOff>152400</xdr:rowOff>
                  </from>
                  <to>
                    <xdr:col>2</xdr:col>
                    <xdr:colOff>66675</xdr:colOff>
                    <xdr:row>172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32" name="Check Box 166">
              <controlPr defaultSize="0" autoFill="0" autoLine="0" autoPict="0">
                <anchor moveWithCells="1">
                  <from>
                    <xdr:col>1</xdr:col>
                    <xdr:colOff>9525</xdr:colOff>
                    <xdr:row>169</xdr:row>
                    <xdr:rowOff>152400</xdr:rowOff>
                  </from>
                  <to>
                    <xdr:col>2</xdr:col>
                    <xdr:colOff>66675</xdr:colOff>
                    <xdr:row>171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3" name="Check Box 167">
              <controlPr defaultSize="0" autoFill="0" autoLine="0" autoPict="0">
                <anchor moveWithCells="1">
                  <from>
                    <xdr:col>1</xdr:col>
                    <xdr:colOff>9525</xdr:colOff>
                    <xdr:row>168</xdr:row>
                    <xdr:rowOff>152400</xdr:rowOff>
                  </from>
                  <to>
                    <xdr:col>2</xdr:col>
                    <xdr:colOff>66675</xdr:colOff>
                    <xdr:row>170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34" name="Check Box 168">
              <controlPr defaultSize="0" autoFill="0" autoLine="0" autoPict="0">
                <anchor moveWithCells="1">
                  <from>
                    <xdr:col>0</xdr:col>
                    <xdr:colOff>9525</xdr:colOff>
                    <xdr:row>166</xdr:row>
                    <xdr:rowOff>152400</xdr:rowOff>
                  </from>
                  <to>
                    <xdr:col>1</xdr:col>
                    <xdr:colOff>66675</xdr:colOff>
                    <xdr:row>168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35" name="Check Box 169">
              <controlPr defaultSize="0" autoFill="0" autoLine="0" autoPict="0">
                <anchor moveWithCells="1">
                  <from>
                    <xdr:col>0</xdr:col>
                    <xdr:colOff>9525</xdr:colOff>
                    <xdr:row>165</xdr:row>
                    <xdr:rowOff>152400</xdr:rowOff>
                  </from>
                  <to>
                    <xdr:col>1</xdr:col>
                    <xdr:colOff>66675</xdr:colOff>
                    <xdr:row>167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36" name="Check Box 170">
              <controlPr defaultSize="0" autoFill="0" autoLine="0" autoPict="0">
                <anchor moveWithCells="1">
                  <from>
                    <xdr:col>1</xdr:col>
                    <xdr:colOff>9525</xdr:colOff>
                    <xdr:row>164</xdr:row>
                    <xdr:rowOff>152400</xdr:rowOff>
                  </from>
                  <to>
                    <xdr:col>2</xdr:col>
                    <xdr:colOff>66675</xdr:colOff>
                    <xdr:row>166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37" name="Check Box 171">
              <controlPr defaultSize="0" autoFill="0" autoLine="0" autoPict="0">
                <anchor moveWithCells="1">
                  <from>
                    <xdr:col>1</xdr:col>
                    <xdr:colOff>9525</xdr:colOff>
                    <xdr:row>163</xdr:row>
                    <xdr:rowOff>152400</xdr:rowOff>
                  </from>
                  <to>
                    <xdr:col>2</xdr:col>
                    <xdr:colOff>66675</xdr:colOff>
                    <xdr:row>165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38" name="Check Box 172">
              <controlPr defaultSize="0" autoFill="0" autoLine="0" autoPict="0">
                <anchor moveWithCells="1">
                  <from>
                    <xdr:col>1</xdr:col>
                    <xdr:colOff>9525</xdr:colOff>
                    <xdr:row>161</xdr:row>
                    <xdr:rowOff>152400</xdr:rowOff>
                  </from>
                  <to>
                    <xdr:col>2</xdr:col>
                    <xdr:colOff>66675</xdr:colOff>
                    <xdr:row>163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39" name="Check Box 173">
              <controlPr defaultSize="0" autoFill="0" autoLine="0" autoPict="0">
                <anchor moveWithCells="1">
                  <from>
                    <xdr:col>1</xdr:col>
                    <xdr:colOff>9525</xdr:colOff>
                    <xdr:row>160</xdr:row>
                    <xdr:rowOff>152400</xdr:rowOff>
                  </from>
                  <to>
                    <xdr:col>2</xdr:col>
                    <xdr:colOff>66675</xdr:colOff>
                    <xdr:row>162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40" name="Check Box 174">
              <controlPr defaultSize="0" autoFill="0" autoLine="0" autoPict="0">
                <anchor moveWithCells="1">
                  <from>
                    <xdr:col>1</xdr:col>
                    <xdr:colOff>9525</xdr:colOff>
                    <xdr:row>159</xdr:row>
                    <xdr:rowOff>152400</xdr:rowOff>
                  </from>
                  <to>
                    <xdr:col>2</xdr:col>
                    <xdr:colOff>66675</xdr:colOff>
                    <xdr:row>161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41" name="Check Box 176">
              <controlPr defaultSize="0" autoFill="0" autoLine="0" autoPict="0">
                <anchor moveWithCells="1">
                  <from>
                    <xdr:col>1</xdr:col>
                    <xdr:colOff>9525</xdr:colOff>
                    <xdr:row>158</xdr:row>
                    <xdr:rowOff>152400</xdr:rowOff>
                  </from>
                  <to>
                    <xdr:col>2</xdr:col>
                    <xdr:colOff>66675</xdr:colOff>
                    <xdr:row>160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42" name="Check Box 177">
              <controlPr defaultSize="0" autoFill="0" autoLine="0" autoPict="0">
                <anchor moveWithCells="1">
                  <from>
                    <xdr:col>1</xdr:col>
                    <xdr:colOff>9525</xdr:colOff>
                    <xdr:row>156</xdr:row>
                    <xdr:rowOff>152400</xdr:rowOff>
                  </from>
                  <to>
                    <xdr:col>2</xdr:col>
                    <xdr:colOff>66675</xdr:colOff>
                    <xdr:row>158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43" name="Check Box 178">
              <controlPr defaultSize="0" autoFill="0" autoLine="0" autoPict="0">
                <anchor moveWithCells="1">
                  <from>
                    <xdr:col>1</xdr:col>
                    <xdr:colOff>9525</xdr:colOff>
                    <xdr:row>145</xdr:row>
                    <xdr:rowOff>152400</xdr:rowOff>
                  </from>
                  <to>
                    <xdr:col>2</xdr:col>
                    <xdr:colOff>66675</xdr:colOff>
                    <xdr:row>147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44" name="Check Box 186">
              <controlPr defaultSize="0" autoFill="0" autoLine="0" autoPict="0">
                <anchor moveWithCells="1">
                  <from>
                    <xdr:col>0</xdr:col>
                    <xdr:colOff>0</xdr:colOff>
                    <xdr:row>114</xdr:row>
                    <xdr:rowOff>0</xdr:rowOff>
                  </from>
                  <to>
                    <xdr:col>1</xdr:col>
                    <xdr:colOff>57150</xdr:colOff>
                    <xdr:row>115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45" name="Check Box 187">
              <controlPr defaultSize="0" autoFill="0" autoLine="0" autoPict="0">
                <anchor moveWithCells="1">
                  <from>
                    <xdr:col>0</xdr:col>
                    <xdr:colOff>0</xdr:colOff>
                    <xdr:row>116</xdr:row>
                    <xdr:rowOff>0</xdr:rowOff>
                  </from>
                  <to>
                    <xdr:col>1</xdr:col>
                    <xdr:colOff>57150</xdr:colOff>
                    <xdr:row>117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46" name="Drop Down 190">
              <controlPr locked="0" defaultSize="0" autoLine="0" autoPict="0">
                <anchor moveWithCells="1">
                  <from>
                    <xdr:col>8</xdr:col>
                    <xdr:colOff>0</xdr:colOff>
                    <xdr:row>7</xdr:row>
                    <xdr:rowOff>0</xdr:rowOff>
                  </from>
                  <to>
                    <xdr:col>15</xdr:col>
                    <xdr:colOff>152400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47" name="Drop Down 191">
              <controlPr defaultSize="0" autoLine="0" autoPict="0">
                <anchor moveWithCells="1">
                  <from>
                    <xdr:col>8</xdr:col>
                    <xdr:colOff>0</xdr:colOff>
                    <xdr:row>8</xdr:row>
                    <xdr:rowOff>0</xdr:rowOff>
                  </from>
                  <to>
                    <xdr:col>15</xdr:col>
                    <xdr:colOff>161925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48" name="Drop Down 193">
              <controlPr defaultSize="0" autoLine="0" autoPict="0">
                <anchor moveWithCells="1">
                  <from>
                    <xdr:col>8</xdr:col>
                    <xdr:colOff>0</xdr:colOff>
                    <xdr:row>11</xdr:row>
                    <xdr:rowOff>0</xdr:rowOff>
                  </from>
                  <to>
                    <xdr:col>15</xdr:col>
                    <xdr:colOff>161925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49" name="Drop Down 194">
              <controlPr defaultSize="0" autoLine="0" autoPict="0">
                <anchor moveWithCells="1">
                  <from>
                    <xdr:col>8</xdr:col>
                    <xdr:colOff>0</xdr:colOff>
                    <xdr:row>12</xdr:row>
                    <xdr:rowOff>0</xdr:rowOff>
                  </from>
                  <to>
                    <xdr:col>15</xdr:col>
                    <xdr:colOff>161925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50" name="Drop Down 195">
              <controlPr defaultSize="0" autoLine="0" autoPict="0">
                <anchor moveWithCells="1">
                  <from>
                    <xdr:col>8</xdr:col>
                    <xdr:colOff>0</xdr:colOff>
                    <xdr:row>13</xdr:row>
                    <xdr:rowOff>0</xdr:rowOff>
                  </from>
                  <to>
                    <xdr:col>15</xdr:col>
                    <xdr:colOff>161925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51" name="Drop Down 196">
              <controlPr defaultSize="0" autoLine="0" autoPict="0">
                <anchor moveWithCells="1">
                  <from>
                    <xdr:col>8</xdr:col>
                    <xdr:colOff>0</xdr:colOff>
                    <xdr:row>14</xdr:row>
                    <xdr:rowOff>0</xdr:rowOff>
                  </from>
                  <to>
                    <xdr:col>15</xdr:col>
                    <xdr:colOff>161925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52" name="Drop Down 197">
              <controlPr defaultSize="0" autoLine="0" autoPict="0">
                <anchor moveWithCells="1">
                  <from>
                    <xdr:col>8</xdr:col>
                    <xdr:colOff>0</xdr:colOff>
                    <xdr:row>15</xdr:row>
                    <xdr:rowOff>0</xdr:rowOff>
                  </from>
                  <to>
                    <xdr:col>15</xdr:col>
                    <xdr:colOff>161925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53" name="Drop Down 198">
              <controlPr defaultSize="0" autoLine="0" autoPict="0">
                <anchor moveWithCells="1">
                  <from>
                    <xdr:col>8</xdr:col>
                    <xdr:colOff>0</xdr:colOff>
                    <xdr:row>16</xdr:row>
                    <xdr:rowOff>0</xdr:rowOff>
                  </from>
                  <to>
                    <xdr:col>15</xdr:col>
                    <xdr:colOff>161925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54" name="Drop Down 199">
              <controlPr defaultSize="0" autoLine="0" autoPict="0">
                <anchor moveWithCells="1">
                  <from>
                    <xdr:col>8</xdr:col>
                    <xdr:colOff>0</xdr:colOff>
                    <xdr:row>18</xdr:row>
                    <xdr:rowOff>0</xdr:rowOff>
                  </from>
                  <to>
                    <xdr:col>15</xdr:col>
                    <xdr:colOff>161925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55" name="Drop Down 200">
              <controlPr defaultSize="0" autoLine="0" autoPict="0">
                <anchor moveWithCells="1">
                  <from>
                    <xdr:col>8</xdr:col>
                    <xdr:colOff>0</xdr:colOff>
                    <xdr:row>19</xdr:row>
                    <xdr:rowOff>0</xdr:rowOff>
                  </from>
                  <to>
                    <xdr:col>15</xdr:col>
                    <xdr:colOff>161925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56" name="Drop Down 201">
              <controlPr defaultSize="0" autoLine="0" autoPict="0">
                <anchor moveWithCells="1">
                  <from>
                    <xdr:col>8</xdr:col>
                    <xdr:colOff>0</xdr:colOff>
                    <xdr:row>20</xdr:row>
                    <xdr:rowOff>0</xdr:rowOff>
                  </from>
                  <to>
                    <xdr:col>15</xdr:col>
                    <xdr:colOff>161925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57" name="Drop Down 202">
              <controlPr defaultSize="0" autoLine="0" autoPict="0">
                <anchor moveWithCells="1">
                  <from>
                    <xdr:col>8</xdr:col>
                    <xdr:colOff>0</xdr:colOff>
                    <xdr:row>21</xdr:row>
                    <xdr:rowOff>0</xdr:rowOff>
                  </from>
                  <to>
                    <xdr:col>15</xdr:col>
                    <xdr:colOff>161925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58" name="Drop Down 203">
              <controlPr defaultSize="0" autoLine="0" autoPict="0">
                <anchor moveWithCells="1">
                  <from>
                    <xdr:col>8</xdr:col>
                    <xdr:colOff>0</xdr:colOff>
                    <xdr:row>22</xdr:row>
                    <xdr:rowOff>0</xdr:rowOff>
                  </from>
                  <to>
                    <xdr:col>15</xdr:col>
                    <xdr:colOff>161925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59" name="Drop Down 204">
              <controlPr defaultSize="0" autoLine="0" autoPict="0">
                <anchor moveWithCells="1">
                  <from>
                    <xdr:col>8</xdr:col>
                    <xdr:colOff>0</xdr:colOff>
                    <xdr:row>23</xdr:row>
                    <xdr:rowOff>0</xdr:rowOff>
                  </from>
                  <to>
                    <xdr:col>15</xdr:col>
                    <xdr:colOff>161925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60" name="Drop Down 213">
              <controlPr defaultSize="0" autoLine="0" autoPict="0">
                <anchor moveWithCells="1">
                  <from>
                    <xdr:col>8</xdr:col>
                    <xdr:colOff>0</xdr:colOff>
                    <xdr:row>30</xdr:row>
                    <xdr:rowOff>0</xdr:rowOff>
                  </from>
                  <to>
                    <xdr:col>15</xdr:col>
                    <xdr:colOff>161925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61" name="Drop Down 214">
              <controlPr defaultSize="0" autoLine="0" autoPict="0">
                <anchor moveWithCells="1">
                  <from>
                    <xdr:col>8</xdr:col>
                    <xdr:colOff>0</xdr:colOff>
                    <xdr:row>31</xdr:row>
                    <xdr:rowOff>0</xdr:rowOff>
                  </from>
                  <to>
                    <xdr:col>15</xdr:col>
                    <xdr:colOff>161925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62" name="Drop Down 215">
              <controlPr defaultSize="0" autoLine="0" autoPict="0">
                <anchor moveWithCells="1">
                  <from>
                    <xdr:col>8</xdr:col>
                    <xdr:colOff>0</xdr:colOff>
                    <xdr:row>32</xdr:row>
                    <xdr:rowOff>0</xdr:rowOff>
                  </from>
                  <to>
                    <xdr:col>15</xdr:col>
                    <xdr:colOff>161925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63" name="Drop Down 216">
              <controlPr defaultSize="0" autoLine="0" autoPict="0">
                <anchor moveWithCells="1">
                  <from>
                    <xdr:col>8</xdr:col>
                    <xdr:colOff>0</xdr:colOff>
                    <xdr:row>33</xdr:row>
                    <xdr:rowOff>0</xdr:rowOff>
                  </from>
                  <to>
                    <xdr:col>15</xdr:col>
                    <xdr:colOff>161925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64" name="Drop Down 217">
              <controlPr defaultSize="0" autoLine="0" autoPict="0">
                <anchor moveWithCells="1">
                  <from>
                    <xdr:col>8</xdr:col>
                    <xdr:colOff>0</xdr:colOff>
                    <xdr:row>34</xdr:row>
                    <xdr:rowOff>0</xdr:rowOff>
                  </from>
                  <to>
                    <xdr:col>15</xdr:col>
                    <xdr:colOff>161925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65" name="Drop Down 218">
              <controlPr defaultSize="0" autoLine="0" autoPict="0">
                <anchor moveWithCells="1">
                  <from>
                    <xdr:col>8</xdr:col>
                    <xdr:colOff>0</xdr:colOff>
                    <xdr:row>35</xdr:row>
                    <xdr:rowOff>0</xdr:rowOff>
                  </from>
                  <to>
                    <xdr:col>15</xdr:col>
                    <xdr:colOff>161925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66" name="Drop Down 219">
              <controlPr defaultSize="0" autoLine="0" autoPict="0">
                <anchor moveWithCells="1">
                  <from>
                    <xdr:col>8</xdr:col>
                    <xdr:colOff>0</xdr:colOff>
                    <xdr:row>36</xdr:row>
                    <xdr:rowOff>0</xdr:rowOff>
                  </from>
                  <to>
                    <xdr:col>15</xdr:col>
                    <xdr:colOff>161925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67" name="Drop Down 220">
              <controlPr defaultSize="0" autoLine="0" autoPict="0">
                <anchor moveWithCells="1">
                  <from>
                    <xdr:col>8</xdr:col>
                    <xdr:colOff>0</xdr:colOff>
                    <xdr:row>37</xdr:row>
                    <xdr:rowOff>0</xdr:rowOff>
                  </from>
                  <to>
                    <xdr:col>15</xdr:col>
                    <xdr:colOff>161925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68" name="Drop Down 221">
              <controlPr defaultSize="0" autoLine="0" autoPict="0">
                <anchor moveWithCells="1">
                  <from>
                    <xdr:col>8</xdr:col>
                    <xdr:colOff>0</xdr:colOff>
                    <xdr:row>38</xdr:row>
                    <xdr:rowOff>0</xdr:rowOff>
                  </from>
                  <to>
                    <xdr:col>15</xdr:col>
                    <xdr:colOff>161925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69" name="Drop Down 222">
              <controlPr defaultSize="0" autoLine="0" autoPict="0">
                <anchor moveWithCells="1">
                  <from>
                    <xdr:col>8</xdr:col>
                    <xdr:colOff>0</xdr:colOff>
                    <xdr:row>39</xdr:row>
                    <xdr:rowOff>0</xdr:rowOff>
                  </from>
                  <to>
                    <xdr:col>15</xdr:col>
                    <xdr:colOff>161925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70" name="Drop Down 223">
              <controlPr defaultSize="0" autoLine="0" autoPict="0">
                <anchor moveWithCells="1">
                  <from>
                    <xdr:col>8</xdr:col>
                    <xdr:colOff>0</xdr:colOff>
                    <xdr:row>40</xdr:row>
                    <xdr:rowOff>0</xdr:rowOff>
                  </from>
                  <to>
                    <xdr:col>15</xdr:col>
                    <xdr:colOff>161925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71" name="Drop Down 224">
              <controlPr defaultSize="0" autoLine="0" autoPict="0">
                <anchor moveWithCells="1">
                  <from>
                    <xdr:col>8</xdr:col>
                    <xdr:colOff>0</xdr:colOff>
                    <xdr:row>41</xdr:row>
                    <xdr:rowOff>0</xdr:rowOff>
                  </from>
                  <to>
                    <xdr:col>15</xdr:col>
                    <xdr:colOff>161925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72" name="Drop Down 225">
              <controlPr defaultSize="0" autoLine="0" autoPict="0">
                <anchor moveWithCells="1">
                  <from>
                    <xdr:col>8</xdr:col>
                    <xdr:colOff>0</xdr:colOff>
                    <xdr:row>42</xdr:row>
                    <xdr:rowOff>0</xdr:rowOff>
                  </from>
                  <to>
                    <xdr:col>15</xdr:col>
                    <xdr:colOff>161925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73" name="Check Box 226">
              <controlPr defaultSize="0" autoFill="0" autoLine="0" autoPict="0">
                <anchor moveWithCells="1">
                  <from>
                    <xdr:col>16</xdr:col>
                    <xdr:colOff>38100</xdr:colOff>
                    <xdr:row>44</xdr:row>
                    <xdr:rowOff>76200</xdr:rowOff>
                  </from>
                  <to>
                    <xdr:col>17</xdr:col>
                    <xdr:colOff>95250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74" name="Check Box 227">
              <controlPr defaultSize="0" autoFill="0" autoLine="0" autoPict="0">
                <anchor moveWithCells="1">
                  <from>
                    <xdr:col>22</xdr:col>
                    <xdr:colOff>19050</xdr:colOff>
                    <xdr:row>44</xdr:row>
                    <xdr:rowOff>76200</xdr:rowOff>
                  </from>
                  <to>
                    <xdr:col>23</xdr:col>
                    <xdr:colOff>76200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75" name="Check Box 228">
              <controlPr defaultSize="0" autoFill="0" autoLine="0" autoPict="0">
                <anchor moveWithCells="1">
                  <from>
                    <xdr:col>25</xdr:col>
                    <xdr:colOff>19050</xdr:colOff>
                    <xdr:row>44</xdr:row>
                    <xdr:rowOff>76200</xdr:rowOff>
                  </from>
                  <to>
                    <xdr:col>26</xdr:col>
                    <xdr:colOff>76200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76" name="Check Box 229">
              <controlPr defaultSize="0" autoFill="0" autoLine="0" autoPict="0">
                <anchor moveWithCells="1">
                  <from>
                    <xdr:col>30</xdr:col>
                    <xdr:colOff>28575</xdr:colOff>
                    <xdr:row>44</xdr:row>
                    <xdr:rowOff>76200</xdr:rowOff>
                  </from>
                  <to>
                    <xdr:col>31</xdr:col>
                    <xdr:colOff>85725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77" name="Check Box 230">
              <controlPr defaultSize="0" autoFill="0" autoLine="0" autoPict="0">
                <anchor moveWithCells="1">
                  <from>
                    <xdr:col>28</xdr:col>
                    <xdr:colOff>19050</xdr:colOff>
                    <xdr:row>44</xdr:row>
                    <xdr:rowOff>76200</xdr:rowOff>
                  </from>
                  <to>
                    <xdr:col>29</xdr:col>
                    <xdr:colOff>76200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78" name="Check Box 231">
              <controlPr defaultSize="0" autoFill="0" autoLine="0" autoPict="0">
                <anchor moveWithCells="1">
                  <from>
                    <xdr:col>18</xdr:col>
                    <xdr:colOff>114300</xdr:colOff>
                    <xdr:row>200</xdr:row>
                    <xdr:rowOff>180975</xdr:rowOff>
                  </from>
                  <to>
                    <xdr:col>19</xdr:col>
                    <xdr:colOff>171450</xdr:colOff>
                    <xdr:row>202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79" name="Check Box 232">
              <controlPr defaultSize="0" autoFill="0" autoLine="0" autoPict="0">
                <anchor moveWithCells="1">
                  <from>
                    <xdr:col>20</xdr:col>
                    <xdr:colOff>28575</xdr:colOff>
                    <xdr:row>200</xdr:row>
                    <xdr:rowOff>180975</xdr:rowOff>
                  </from>
                  <to>
                    <xdr:col>21</xdr:col>
                    <xdr:colOff>85725</xdr:colOff>
                    <xdr:row>202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80" name="Check Box 233">
              <controlPr defaultSize="0" autoFill="0" autoLine="0" autoPict="0">
                <anchor moveWithCells="1">
                  <from>
                    <xdr:col>20</xdr:col>
                    <xdr:colOff>219075</xdr:colOff>
                    <xdr:row>203</xdr:row>
                    <xdr:rowOff>161925</xdr:rowOff>
                  </from>
                  <to>
                    <xdr:col>22</xdr:col>
                    <xdr:colOff>28575</xdr:colOff>
                    <xdr:row>205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81" name="Drop Down 234">
              <controlPr defaultSize="0" autoLine="0" autoPict="0">
                <anchor moveWithCells="1">
                  <from>
                    <xdr:col>8</xdr:col>
                    <xdr:colOff>0</xdr:colOff>
                    <xdr:row>43</xdr:row>
                    <xdr:rowOff>0</xdr:rowOff>
                  </from>
                  <to>
                    <xdr:col>15</xdr:col>
                    <xdr:colOff>161925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82" name="Check Box 235">
              <controlPr defaultSize="0" autoFill="0" autoLine="0" autoPict="0">
                <anchor moveWithCells="1">
                  <from>
                    <xdr:col>25</xdr:col>
                    <xdr:colOff>19050</xdr:colOff>
                    <xdr:row>45</xdr:row>
                    <xdr:rowOff>76200</xdr:rowOff>
                  </from>
                  <to>
                    <xdr:col>26</xdr:col>
                    <xdr:colOff>76200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83" name="Check Box 236">
              <controlPr defaultSize="0" autoFill="0" autoLine="0" autoPict="0">
                <anchor moveWithCells="1">
                  <from>
                    <xdr:col>30</xdr:col>
                    <xdr:colOff>28575</xdr:colOff>
                    <xdr:row>45</xdr:row>
                    <xdr:rowOff>76200</xdr:rowOff>
                  </from>
                  <to>
                    <xdr:col>31</xdr:col>
                    <xdr:colOff>85725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84" name="Check Box 237">
              <controlPr defaultSize="0" autoFill="0" autoLine="0" autoPict="0">
                <anchor moveWithCells="1">
                  <from>
                    <xdr:col>17</xdr:col>
                    <xdr:colOff>38100</xdr:colOff>
                    <xdr:row>7</xdr:row>
                    <xdr:rowOff>28575</xdr:rowOff>
                  </from>
                  <to>
                    <xdr:col>18</xdr:col>
                    <xdr:colOff>95250</xdr:colOff>
                    <xdr:row>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85" name="Check Box 238">
              <controlPr defaultSize="0" autoFill="0" autoLine="0" autoPict="0">
                <anchor moveWithCells="1">
                  <from>
                    <xdr:col>17</xdr:col>
                    <xdr:colOff>28575</xdr:colOff>
                    <xdr:row>9</xdr:row>
                    <xdr:rowOff>38100</xdr:rowOff>
                  </from>
                  <to>
                    <xdr:col>18</xdr:col>
                    <xdr:colOff>85725</xdr:colOff>
                    <xdr:row>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86" name="Check Box 239">
              <controlPr defaultSize="0" autoFill="0" autoLine="0" autoPict="0">
                <anchor moveWithCells="1">
                  <from>
                    <xdr:col>17</xdr:col>
                    <xdr:colOff>47625</xdr:colOff>
                    <xdr:row>13</xdr:row>
                    <xdr:rowOff>28575</xdr:rowOff>
                  </from>
                  <to>
                    <xdr:col>18</xdr:col>
                    <xdr:colOff>104775</xdr:colOff>
                    <xdr:row>13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87" name="Check Box 240">
              <controlPr defaultSize="0" autoFill="0" autoLine="0" autoPict="0">
                <anchor moveWithCells="1">
                  <from>
                    <xdr:col>17</xdr:col>
                    <xdr:colOff>38100</xdr:colOff>
                    <xdr:row>15</xdr:row>
                    <xdr:rowOff>28575</xdr:rowOff>
                  </from>
                  <to>
                    <xdr:col>18</xdr:col>
                    <xdr:colOff>95250</xdr:colOff>
                    <xdr:row>15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88" name="Check Box 241">
              <controlPr defaultSize="0" autoFill="0" autoLine="0" autoPict="0">
                <anchor moveWithCells="1">
                  <from>
                    <xdr:col>17</xdr:col>
                    <xdr:colOff>57150</xdr:colOff>
                    <xdr:row>11</xdr:row>
                    <xdr:rowOff>28575</xdr:rowOff>
                  </from>
                  <to>
                    <xdr:col>18</xdr:col>
                    <xdr:colOff>114300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89" name="Check Box 242">
              <controlPr defaultSize="0" autoFill="0" autoLine="0" autoPict="0">
                <anchor moveWithCells="1">
                  <from>
                    <xdr:col>1</xdr:col>
                    <xdr:colOff>142875</xdr:colOff>
                    <xdr:row>84</xdr:row>
                    <xdr:rowOff>76200</xdr:rowOff>
                  </from>
                  <to>
                    <xdr:col>2</xdr:col>
                    <xdr:colOff>200025</xdr:colOff>
                    <xdr:row>85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42D4-698A-4297-AE43-82063DBBDC52}">
  <sheetPr codeName="Feuil1">
    <pageSetUpPr fitToPage="1"/>
  </sheetPr>
  <dimension ref="A1:N200"/>
  <sheetViews>
    <sheetView view="pageBreakPreview" topLeftCell="A180" zoomScale="160" zoomScaleNormal="85" zoomScaleSheetLayoutView="160" workbookViewId="0">
      <selection activeCell="F8" sqref="F8"/>
    </sheetView>
  </sheetViews>
  <sheetFormatPr baseColWidth="10" defaultColWidth="11.42578125" defaultRowHeight="12.75" x14ac:dyDescent="0.2"/>
  <cols>
    <col min="1" max="1" width="14.28515625" style="124" customWidth="1"/>
    <col min="2" max="2" width="7.28515625" style="124" customWidth="1"/>
    <col min="3" max="3" width="8.42578125" style="124" customWidth="1"/>
    <col min="4" max="4" width="11.28515625" style="124" customWidth="1"/>
    <col min="5" max="5" width="12.42578125" style="124" customWidth="1"/>
    <col min="6" max="6" width="13.7109375" style="124" customWidth="1"/>
    <col min="7" max="7" width="12.28515625" style="125" customWidth="1"/>
    <col min="8" max="8" width="13.85546875" style="124" bestFit="1" customWidth="1"/>
    <col min="9" max="9" width="14.7109375" style="124" customWidth="1"/>
    <col min="10" max="10" width="10.28515625" style="124" customWidth="1"/>
    <col min="11" max="11" width="19.5703125" style="124" customWidth="1"/>
    <col min="12" max="14" width="10.28515625" style="124" customWidth="1"/>
    <col min="15" max="16" width="11.42578125" style="124" customWidth="1"/>
    <col min="17" max="17" width="20.28515625" style="124" customWidth="1"/>
    <col min="18" max="16384" width="11.42578125" style="124"/>
  </cols>
  <sheetData>
    <row r="1" spans="1:8" ht="3.75" customHeight="1" x14ac:dyDescent="0.2"/>
    <row r="2" spans="1:8" ht="12.75" customHeight="1" thickBot="1" x14ac:dyDescent="0.25">
      <c r="A2" s="679" t="s">
        <v>406</v>
      </c>
      <c r="B2" s="679"/>
      <c r="C2" s="680"/>
      <c r="D2" s="680"/>
      <c r="E2" s="680"/>
    </row>
    <row r="3" spans="1:8" ht="12.75" customHeight="1" thickBot="1" x14ac:dyDescent="0.25">
      <c r="A3" s="679" t="s">
        <v>407</v>
      </c>
      <c r="B3" s="679"/>
      <c r="C3" s="681">
        <f ca="1">TODAY()</f>
        <v>45982</v>
      </c>
      <c r="D3" s="680"/>
      <c r="E3" s="680"/>
      <c r="F3" s="126" t="s">
        <v>408</v>
      </c>
      <c r="G3" s="183">
        <v>28</v>
      </c>
      <c r="H3" s="124" t="s">
        <v>409</v>
      </c>
    </row>
    <row r="4" spans="1:8" ht="12.75" customHeight="1" thickBot="1" x14ac:dyDescent="0.25">
      <c r="E4" s="682" t="s">
        <v>410</v>
      </c>
      <c r="F4" s="683"/>
      <c r="G4" s="191">
        <v>200</v>
      </c>
      <c r="H4" s="124" t="s">
        <v>409</v>
      </c>
    </row>
    <row r="5" spans="1:8" ht="3" customHeight="1" x14ac:dyDescent="0.2"/>
    <row r="6" spans="1:8" ht="18.75" customHeight="1" x14ac:dyDescent="0.25">
      <c r="A6" s="127" t="s">
        <v>411</v>
      </c>
      <c r="B6" s="127"/>
      <c r="C6" s="127"/>
      <c r="D6" s="127"/>
      <c r="E6" s="127"/>
      <c r="F6" s="127"/>
      <c r="G6" s="128"/>
      <c r="H6" s="127"/>
    </row>
    <row r="7" spans="1:8" ht="6.75" customHeight="1" thickBot="1" x14ac:dyDescent="0.25"/>
    <row r="8" spans="1:8" ht="12.75" customHeight="1" x14ac:dyDescent="0.2">
      <c r="B8" s="684" t="s">
        <v>412</v>
      </c>
      <c r="C8" s="685"/>
      <c r="D8" s="192"/>
      <c r="E8" s="124" t="s">
        <v>413</v>
      </c>
      <c r="G8" s="686" t="s">
        <v>414</v>
      </c>
      <c r="H8" s="686"/>
    </row>
    <row r="9" spans="1:8" ht="12.75" customHeight="1" thickBot="1" x14ac:dyDescent="0.25">
      <c r="B9" s="684" t="s">
        <v>3</v>
      </c>
      <c r="C9" s="689"/>
      <c r="D9" s="193"/>
      <c r="E9" s="124" t="s">
        <v>413</v>
      </c>
    </row>
    <row r="10" spans="1:8" ht="6.75" customHeight="1" x14ac:dyDescent="0.2"/>
    <row r="11" spans="1:8" ht="12.75" customHeight="1" x14ac:dyDescent="0.2">
      <c r="B11" s="690" t="s">
        <v>8</v>
      </c>
      <c r="C11" s="691"/>
      <c r="D11" s="690" t="s">
        <v>9</v>
      </c>
      <c r="E11" s="691"/>
      <c r="F11" s="130" t="s">
        <v>415</v>
      </c>
      <c r="G11" s="131" t="s">
        <v>416</v>
      </c>
      <c r="H11" s="130" t="s">
        <v>5</v>
      </c>
    </row>
    <row r="12" spans="1:8" ht="12.75" customHeight="1" x14ac:dyDescent="0.2">
      <c r="B12" s="687" t="s">
        <v>417</v>
      </c>
      <c r="C12" s="688"/>
      <c r="D12" s="687">
        <f>CEILING(D8/10+1,1)*CEILING(D9/5,1)</f>
        <v>0</v>
      </c>
      <c r="E12" s="688"/>
      <c r="F12" s="133">
        <f ca="1">$F$156/$G$4</f>
        <v>0.76678802334432006</v>
      </c>
      <c r="G12" s="134">
        <f>G3</f>
        <v>28</v>
      </c>
      <c r="H12" s="135">
        <f ca="1">G12*F12*D12</f>
        <v>0</v>
      </c>
    </row>
    <row r="13" spans="1:8" ht="12.75" customHeight="1" x14ac:dyDescent="0.2">
      <c r="B13" s="687" t="s">
        <v>418</v>
      </c>
      <c r="C13" s="688"/>
      <c r="D13" s="687">
        <f>CEILING(D8/10+1,1)*2</f>
        <v>2</v>
      </c>
      <c r="E13" s="688"/>
      <c r="F13" s="133">
        <f ca="1">$F$167/$G$4</f>
        <v>0.15770817501407999</v>
      </c>
      <c r="G13" s="134">
        <f>G3</f>
        <v>28</v>
      </c>
      <c r="H13" s="135">
        <f ca="1">G13*F13*D13</f>
        <v>8.831657800788479</v>
      </c>
    </row>
    <row r="14" spans="1:8" ht="12.75" customHeight="1" x14ac:dyDescent="0.2">
      <c r="B14" s="687" t="s">
        <v>419</v>
      </c>
      <c r="C14" s="688"/>
      <c r="D14" s="687">
        <f>CEILING(D8/10,1)*CEILING(D9/5,1)*2</f>
        <v>0</v>
      </c>
      <c r="E14" s="688"/>
      <c r="F14" s="133">
        <f ca="1">$F$159/$G$4</f>
        <v>0.20665209139776</v>
      </c>
      <c r="G14" s="134">
        <f>G3</f>
        <v>28</v>
      </c>
      <c r="H14" s="135">
        <f ca="1">G14*F14*D14</f>
        <v>0</v>
      </c>
    </row>
    <row r="15" spans="1:8" ht="12.75" customHeight="1" x14ac:dyDescent="0.2">
      <c r="B15" s="687" t="s">
        <v>197</v>
      </c>
      <c r="C15" s="688"/>
      <c r="D15" s="687">
        <f>(CEILING(D8/20+1,1)*FLOOR(D9/15,1))</f>
        <v>0</v>
      </c>
      <c r="E15" s="688"/>
      <c r="F15" s="133">
        <f ca="1">$F$160/$G$4</f>
        <v>0.28142751920615999</v>
      </c>
      <c r="G15" s="134">
        <f>G3</f>
        <v>28</v>
      </c>
      <c r="H15" s="135">
        <f ca="1">G15*F15*D15</f>
        <v>0</v>
      </c>
    </row>
    <row r="16" spans="1:8" ht="12.75" customHeight="1" x14ac:dyDescent="0.2">
      <c r="B16" s="687" t="s">
        <v>420</v>
      </c>
      <c r="C16" s="688"/>
      <c r="D16" s="687">
        <f>D12*2-4</f>
        <v>-4</v>
      </c>
      <c r="E16" s="688"/>
      <c r="F16" s="133">
        <f ca="1">$F$168/$G$4</f>
        <v>5.4382129315199999E-2</v>
      </c>
      <c r="G16" s="134">
        <f>G3</f>
        <v>28</v>
      </c>
      <c r="H16" s="135">
        <f ca="1">G16*F16*D16</f>
        <v>-6.0907984833024003</v>
      </c>
    </row>
    <row r="17" spans="2:9" ht="12.75" customHeight="1" thickBot="1" x14ac:dyDescent="0.25">
      <c r="B17" s="693"/>
      <c r="C17" s="693"/>
      <c r="D17" s="124" t="s">
        <v>421</v>
      </c>
      <c r="E17" s="125" t="s">
        <v>422</v>
      </c>
    </row>
    <row r="18" spans="2:9" ht="12.75" customHeight="1" x14ac:dyDescent="0.2">
      <c r="B18" s="694" t="s">
        <v>423</v>
      </c>
      <c r="C18" s="687"/>
      <c r="D18" s="192">
        <v>0</v>
      </c>
      <c r="E18" s="132">
        <f>D13/2</f>
        <v>1</v>
      </c>
      <c r="F18" s="135">
        <f ca="1">($F$158-$F$156*2-$F$168*2+3*$F$173+$F$170*5*10)/$G$4</f>
        <v>0.92035813881874706</v>
      </c>
      <c r="G18" s="134">
        <f>G3</f>
        <v>28</v>
      </c>
      <c r="H18" s="135">
        <f ca="1">G18*F18*E18*D18</f>
        <v>0</v>
      </c>
    </row>
    <row r="19" spans="2:9" ht="12.75" customHeight="1" thickBot="1" x14ac:dyDescent="0.25">
      <c r="B19" s="694" t="s">
        <v>424</v>
      </c>
      <c r="C19" s="687"/>
      <c r="D19" s="193">
        <v>0</v>
      </c>
      <c r="E19" s="132">
        <f>D8*5</f>
        <v>0</v>
      </c>
      <c r="F19" s="135">
        <f ca="1">($F$170+$F$190)/($G$4/2)</f>
        <v>4.308522997535201E-2</v>
      </c>
      <c r="G19" s="134">
        <f>G3</f>
        <v>28</v>
      </c>
      <c r="H19" s="135">
        <f ca="1">G19*F19*E19*D19</f>
        <v>0</v>
      </c>
    </row>
    <row r="20" spans="2:9" ht="6.75" customHeight="1" x14ac:dyDescent="0.2"/>
    <row r="21" spans="2:9" ht="12.75" customHeight="1" x14ac:dyDescent="0.2">
      <c r="G21" s="131" t="s">
        <v>5</v>
      </c>
      <c r="H21" s="135">
        <f>IF(D8=0,0,SUM(H12:H19))</f>
        <v>0</v>
      </c>
      <c r="I21" s="136"/>
    </row>
    <row r="22" spans="2:9" ht="6.75" customHeight="1" thickBot="1" x14ac:dyDescent="0.25"/>
    <row r="23" spans="2:9" ht="12.75" customHeight="1" x14ac:dyDescent="0.2">
      <c r="B23" s="130" t="s">
        <v>412</v>
      </c>
      <c r="C23" s="137"/>
      <c r="D23" s="192"/>
      <c r="E23" s="124" t="s">
        <v>413</v>
      </c>
      <c r="G23" s="686" t="s">
        <v>425</v>
      </c>
      <c r="H23" s="686"/>
    </row>
    <row r="24" spans="2:9" ht="12.75" customHeight="1" thickBot="1" x14ac:dyDescent="0.25">
      <c r="B24" s="690" t="s">
        <v>3</v>
      </c>
      <c r="C24" s="692"/>
      <c r="D24" s="193"/>
      <c r="E24" s="124" t="s">
        <v>413</v>
      </c>
    </row>
    <row r="25" spans="2:9" ht="6.75" customHeight="1" x14ac:dyDescent="0.2"/>
    <row r="26" spans="2:9" ht="12.75" customHeight="1" x14ac:dyDescent="0.2">
      <c r="B26" s="690" t="s">
        <v>8</v>
      </c>
      <c r="C26" s="691"/>
      <c r="D26" s="690" t="s">
        <v>9</v>
      </c>
      <c r="E26" s="691"/>
      <c r="F26" s="130" t="s">
        <v>415</v>
      </c>
      <c r="G26" s="131" t="s">
        <v>416</v>
      </c>
      <c r="H26" s="130" t="s">
        <v>5</v>
      </c>
    </row>
    <row r="27" spans="2:9" ht="12.75" customHeight="1" x14ac:dyDescent="0.2">
      <c r="B27" s="687" t="s">
        <v>417</v>
      </c>
      <c r="C27" s="688"/>
      <c r="D27" s="687">
        <f>CEILING(D23/10+1,1)*CEILING(D24/5,1)</f>
        <v>0</v>
      </c>
      <c r="E27" s="688"/>
      <c r="F27" s="133">
        <f ca="1">$F$156/$G$4</f>
        <v>0.76678802334432006</v>
      </c>
      <c r="G27" s="134">
        <f>G3</f>
        <v>28</v>
      </c>
      <c r="H27" s="135">
        <f ca="1">G27*F27*D27</f>
        <v>0</v>
      </c>
    </row>
    <row r="28" spans="2:9" ht="12.75" customHeight="1" x14ac:dyDescent="0.2">
      <c r="B28" s="687" t="s">
        <v>418</v>
      </c>
      <c r="C28" s="688"/>
      <c r="D28" s="687">
        <f>CEILING(D23/10+1,1)*2</f>
        <v>2</v>
      </c>
      <c r="E28" s="688"/>
      <c r="F28" s="133">
        <f ca="1">$F$167/$G$4</f>
        <v>0.15770817501407999</v>
      </c>
      <c r="G28" s="134">
        <f>G27</f>
        <v>28</v>
      </c>
      <c r="H28" s="135">
        <f ca="1">G28*F28*D28</f>
        <v>8.831657800788479</v>
      </c>
    </row>
    <row r="29" spans="2:9" ht="12.75" customHeight="1" x14ac:dyDescent="0.2">
      <c r="B29" s="687" t="s">
        <v>419</v>
      </c>
      <c r="C29" s="688"/>
      <c r="D29" s="687">
        <f>CEILING(D23/10,1)*CEILING(D24/5,1)*2</f>
        <v>0</v>
      </c>
      <c r="E29" s="688"/>
      <c r="F29" s="133">
        <f ca="1">$F$159/$G$4</f>
        <v>0.20665209139776</v>
      </c>
      <c r="G29" s="134">
        <f>G27</f>
        <v>28</v>
      </c>
      <c r="H29" s="135">
        <f ca="1">G29*F29*D29</f>
        <v>0</v>
      </c>
    </row>
    <row r="30" spans="2:9" ht="12.75" customHeight="1" x14ac:dyDescent="0.2">
      <c r="B30" s="687" t="s">
        <v>197</v>
      </c>
      <c r="C30" s="688"/>
      <c r="D30" s="687">
        <f>(CEILING(D23/20+1,1)*FLOOR(D24/15,1))</f>
        <v>0</v>
      </c>
      <c r="E30" s="688"/>
      <c r="F30" s="133">
        <f ca="1">$F$160/$G$4</f>
        <v>0.28142751920615999</v>
      </c>
      <c r="G30" s="134">
        <f>G27</f>
        <v>28</v>
      </c>
      <c r="H30" s="135">
        <f ca="1">G30*F30*D30</f>
        <v>0</v>
      </c>
    </row>
    <row r="31" spans="2:9" ht="12.75" customHeight="1" x14ac:dyDescent="0.2">
      <c r="B31" s="687" t="s">
        <v>420</v>
      </c>
      <c r="C31" s="688"/>
      <c r="D31" s="687">
        <f>D27*2-4</f>
        <v>-4</v>
      </c>
      <c r="E31" s="688"/>
      <c r="F31" s="133">
        <f ca="1">$F$168/$G$4</f>
        <v>5.4382129315199999E-2</v>
      </c>
      <c r="G31" s="134">
        <f>G27</f>
        <v>28</v>
      </c>
      <c r="H31" s="135">
        <f ca="1">G31*F31*D31</f>
        <v>-6.0907984833024003</v>
      </c>
    </row>
    <row r="32" spans="2:9" ht="12.75" customHeight="1" thickBot="1" x14ac:dyDescent="0.25">
      <c r="B32" s="693"/>
      <c r="C32" s="693"/>
      <c r="D32" s="124" t="s">
        <v>421</v>
      </c>
      <c r="E32" s="124" t="s">
        <v>422</v>
      </c>
    </row>
    <row r="33" spans="2:9" ht="12.75" customHeight="1" x14ac:dyDescent="0.2">
      <c r="B33" s="694" t="s">
        <v>423</v>
      </c>
      <c r="C33" s="687"/>
      <c r="D33" s="192">
        <v>0</v>
      </c>
      <c r="E33" s="138">
        <f>D28/2</f>
        <v>1</v>
      </c>
      <c r="F33" s="135">
        <f ca="1">($F$158-$F$156*2-$F$168*2+3*$F$173+$F$170*5*10)/$G$4</f>
        <v>0.92035813881874706</v>
      </c>
      <c r="G33" s="134">
        <f>G27</f>
        <v>28</v>
      </c>
      <c r="H33" s="135">
        <f ca="1">G33*F33*(E33-1)*D33</f>
        <v>0</v>
      </c>
    </row>
    <row r="34" spans="2:9" ht="12.75" customHeight="1" thickBot="1" x14ac:dyDescent="0.25">
      <c r="B34" s="694" t="s">
        <v>424</v>
      </c>
      <c r="C34" s="687"/>
      <c r="D34" s="193">
        <v>0</v>
      </c>
      <c r="E34" s="138">
        <f>D23*5</f>
        <v>0</v>
      </c>
      <c r="F34" s="135">
        <f ca="1">($F$170+$F$190)/($G$4/2)</f>
        <v>4.308522997535201E-2</v>
      </c>
      <c r="G34" s="134">
        <f>G27</f>
        <v>28</v>
      </c>
      <c r="H34" s="135">
        <f ca="1">G34*F34*E34*D34</f>
        <v>0</v>
      </c>
      <c r="I34" s="136"/>
    </row>
    <row r="35" spans="2:9" ht="6.75" customHeight="1" x14ac:dyDescent="0.2"/>
    <row r="36" spans="2:9" ht="12.75" customHeight="1" x14ac:dyDescent="0.2">
      <c r="G36" s="131" t="s">
        <v>5</v>
      </c>
      <c r="H36" s="135">
        <f>IF(D23=0,0,SUM(H27:H34))</f>
        <v>0</v>
      </c>
    </row>
    <row r="37" spans="2:9" ht="6.75" customHeight="1" thickBot="1" x14ac:dyDescent="0.25"/>
    <row r="38" spans="2:9" ht="12.75" customHeight="1" x14ac:dyDescent="0.2">
      <c r="B38" s="130" t="s">
        <v>412</v>
      </c>
      <c r="C38" s="137"/>
      <c r="D38" s="192"/>
      <c r="E38" s="124" t="s">
        <v>413</v>
      </c>
      <c r="G38" s="686" t="s">
        <v>426</v>
      </c>
      <c r="H38" s="686"/>
    </row>
    <row r="39" spans="2:9" ht="12.75" customHeight="1" thickBot="1" x14ac:dyDescent="0.25">
      <c r="B39" s="690" t="s">
        <v>3</v>
      </c>
      <c r="C39" s="692"/>
      <c r="D39" s="193"/>
      <c r="E39" s="124" t="s">
        <v>413</v>
      </c>
    </row>
    <row r="40" spans="2:9" ht="7.5" customHeight="1" x14ac:dyDescent="0.2"/>
    <row r="41" spans="2:9" ht="12.75" customHeight="1" x14ac:dyDescent="0.2">
      <c r="B41" s="690" t="s">
        <v>8</v>
      </c>
      <c r="C41" s="691"/>
      <c r="D41" s="690" t="s">
        <v>9</v>
      </c>
      <c r="E41" s="691"/>
      <c r="F41" s="130" t="s">
        <v>415</v>
      </c>
      <c r="G41" s="131" t="s">
        <v>416</v>
      </c>
      <c r="H41" s="130" t="s">
        <v>5</v>
      </c>
    </row>
    <row r="42" spans="2:9" ht="12.75" customHeight="1" x14ac:dyDescent="0.2">
      <c r="B42" s="687" t="s">
        <v>417</v>
      </c>
      <c r="C42" s="688"/>
      <c r="D42" s="687">
        <f>CEILING(D38/10+1,1)*CEILING(D39/5,1)</f>
        <v>0</v>
      </c>
      <c r="E42" s="688"/>
      <c r="F42" s="133">
        <f ca="1">$F$156/$G$4</f>
        <v>0.76678802334432006</v>
      </c>
      <c r="G42" s="134">
        <f>G33</f>
        <v>28</v>
      </c>
      <c r="H42" s="135">
        <f ca="1">G42*F42*D42</f>
        <v>0</v>
      </c>
    </row>
    <row r="43" spans="2:9" ht="12.75" customHeight="1" x14ac:dyDescent="0.2">
      <c r="B43" s="687" t="s">
        <v>418</v>
      </c>
      <c r="C43" s="688"/>
      <c r="D43" s="687">
        <f>CEILING(D38/10+1,1)*2</f>
        <v>2</v>
      </c>
      <c r="E43" s="688"/>
      <c r="F43" s="133">
        <f ca="1">$F$167/$G$4</f>
        <v>0.15770817501407999</v>
      </c>
      <c r="G43" s="134">
        <f>G33</f>
        <v>28</v>
      </c>
      <c r="H43" s="135">
        <f ca="1">G43*F43*D43</f>
        <v>8.831657800788479</v>
      </c>
    </row>
    <row r="44" spans="2:9" ht="12.75" customHeight="1" x14ac:dyDescent="0.2">
      <c r="B44" s="687" t="s">
        <v>419</v>
      </c>
      <c r="C44" s="688"/>
      <c r="D44" s="687">
        <f>CEILING(D38/10,1)*CEILING(D39/5,1)*2</f>
        <v>0</v>
      </c>
      <c r="E44" s="688"/>
      <c r="F44" s="133">
        <f ca="1">$F$159/$G$4</f>
        <v>0.20665209139776</v>
      </c>
      <c r="G44" s="134">
        <f>G33</f>
        <v>28</v>
      </c>
      <c r="H44" s="135">
        <f ca="1">G44*F44*D44</f>
        <v>0</v>
      </c>
    </row>
    <row r="45" spans="2:9" ht="12.75" customHeight="1" x14ac:dyDescent="0.2">
      <c r="B45" s="687" t="s">
        <v>197</v>
      </c>
      <c r="C45" s="688"/>
      <c r="D45" s="687">
        <f>(CEILING(D38/20+1,1)*FLOOR(D39/15,1))</f>
        <v>0</v>
      </c>
      <c r="E45" s="688"/>
      <c r="F45" s="133">
        <f ca="1">$F$160/$G$4</f>
        <v>0.28142751920615999</v>
      </c>
      <c r="G45" s="134">
        <f>G33</f>
        <v>28</v>
      </c>
      <c r="H45" s="135">
        <f ca="1">G45*F45*D45</f>
        <v>0</v>
      </c>
    </row>
    <row r="46" spans="2:9" ht="12.75" customHeight="1" x14ac:dyDescent="0.2">
      <c r="B46" s="687" t="s">
        <v>420</v>
      </c>
      <c r="C46" s="688"/>
      <c r="D46" s="687">
        <f>D42*2-4</f>
        <v>-4</v>
      </c>
      <c r="E46" s="688"/>
      <c r="F46" s="133">
        <f ca="1">$F$168/$G$4</f>
        <v>5.4382129315199999E-2</v>
      </c>
      <c r="G46" s="134">
        <f>G33</f>
        <v>28</v>
      </c>
      <c r="H46" s="135">
        <f ca="1">G46*F46*D46</f>
        <v>-6.0907984833024003</v>
      </c>
    </row>
    <row r="47" spans="2:9" ht="12.75" customHeight="1" thickBot="1" x14ac:dyDescent="0.25">
      <c r="B47" s="693"/>
      <c r="C47" s="693"/>
      <c r="D47" s="124" t="s">
        <v>421</v>
      </c>
      <c r="E47" s="124" t="s">
        <v>422</v>
      </c>
    </row>
    <row r="48" spans="2:9" ht="12.75" customHeight="1" thickBot="1" x14ac:dyDescent="0.25">
      <c r="B48" s="694" t="s">
        <v>423</v>
      </c>
      <c r="C48" s="687"/>
      <c r="D48" s="194">
        <v>0</v>
      </c>
      <c r="E48" s="138">
        <f>D43/2</f>
        <v>1</v>
      </c>
      <c r="F48" s="135">
        <f ca="1">($F$158-$F$156*2-$F$168*2+3*$F$173+$F$170*5*10)/$G$4</f>
        <v>0.92035813881874706</v>
      </c>
      <c r="G48" s="134">
        <f>G33</f>
        <v>28</v>
      </c>
      <c r="H48" s="135">
        <f ca="1">G48*F48*(E48-1)*D48</f>
        <v>0</v>
      </c>
    </row>
    <row r="49" spans="1:8" ht="12.75" customHeight="1" thickBot="1" x14ac:dyDescent="0.25">
      <c r="B49" s="694" t="s">
        <v>424</v>
      </c>
      <c r="C49" s="687"/>
      <c r="D49" s="195">
        <v>0</v>
      </c>
      <c r="E49" s="138">
        <f>D38*5</f>
        <v>0</v>
      </c>
      <c r="F49" s="135">
        <f ca="1">($F$170+$F$190)/($G$4/2)</f>
        <v>4.308522997535201E-2</v>
      </c>
      <c r="G49" s="134">
        <f>G33</f>
        <v>28</v>
      </c>
      <c r="H49" s="135">
        <f ca="1">G49*F49*E49*D49</f>
        <v>0</v>
      </c>
    </row>
    <row r="50" spans="1:8" ht="7.5" customHeight="1" x14ac:dyDescent="0.2"/>
    <row r="51" spans="1:8" ht="12.75" customHeight="1" x14ac:dyDescent="0.2">
      <c r="G51" s="131" t="s">
        <v>5</v>
      </c>
      <c r="H51" s="135">
        <f>IF(D38=0,0,SUM(H42:H49))</f>
        <v>0</v>
      </c>
    </row>
    <row r="52" spans="1:8" ht="7.5" customHeight="1" x14ac:dyDescent="0.2">
      <c r="H52" s="136"/>
    </row>
    <row r="53" spans="1:8" ht="18.75" customHeight="1" x14ac:dyDescent="0.25">
      <c r="A53" s="127" t="s">
        <v>427</v>
      </c>
      <c r="B53" s="127"/>
      <c r="C53" s="127"/>
      <c r="D53" s="127"/>
      <c r="E53" s="127"/>
      <c r="F53" s="127"/>
      <c r="G53" s="128"/>
      <c r="H53" s="127"/>
    </row>
    <row r="54" spans="1:8" ht="6.75" customHeight="1" thickBot="1" x14ac:dyDescent="0.25"/>
    <row r="55" spans="1:8" ht="12.75" customHeight="1" thickBot="1" x14ac:dyDescent="0.25">
      <c r="B55" s="684" t="s">
        <v>428</v>
      </c>
      <c r="C55" s="689"/>
      <c r="D55" s="689"/>
      <c r="E55" s="196"/>
      <c r="F55" s="124" t="s">
        <v>7</v>
      </c>
      <c r="G55" s="125" t="s">
        <v>429</v>
      </c>
      <c r="H55" s="196"/>
    </row>
    <row r="56" spans="1:8" ht="6.75" customHeight="1" x14ac:dyDescent="0.2"/>
    <row r="57" spans="1:8" ht="12.75" customHeight="1" x14ac:dyDescent="0.2">
      <c r="B57" s="695" t="s">
        <v>8</v>
      </c>
      <c r="C57" s="695"/>
      <c r="D57" s="695" t="s">
        <v>9</v>
      </c>
      <c r="E57" s="695"/>
      <c r="F57" s="130" t="s">
        <v>415</v>
      </c>
      <c r="G57" s="131" t="s">
        <v>416</v>
      </c>
      <c r="H57" s="130" t="s">
        <v>5</v>
      </c>
    </row>
    <row r="58" spans="1:8" ht="12.75" customHeight="1" x14ac:dyDescent="0.2">
      <c r="B58" s="694" t="s">
        <v>430</v>
      </c>
      <c r="C58" s="694"/>
      <c r="D58" s="694">
        <f>H55/10+1</f>
        <v>1</v>
      </c>
      <c r="E58" s="694"/>
      <c r="F58" s="133">
        <f ca="1">$F$166/$G$4</f>
        <v>7.8854087507039997E-2</v>
      </c>
      <c r="G58" s="134">
        <f>G48</f>
        <v>28</v>
      </c>
      <c r="H58" s="135">
        <f ca="1">G58*F58*D58</f>
        <v>2.2079144501971197</v>
      </c>
    </row>
    <row r="59" spans="1:8" ht="12.75" customHeight="1" x14ac:dyDescent="0.2">
      <c r="B59" s="694" t="s">
        <v>431</v>
      </c>
      <c r="C59" s="694"/>
      <c r="D59" s="694">
        <f>H55/10*5</f>
        <v>0</v>
      </c>
      <c r="E59" s="694"/>
      <c r="F59" s="133">
        <f ca="1">$F$173/$G$4</f>
        <v>0.23155743405355569</v>
      </c>
      <c r="G59" s="134">
        <f>G48</f>
        <v>28</v>
      </c>
      <c r="H59" s="135">
        <f ca="1">G59*F59*D59</f>
        <v>0</v>
      </c>
    </row>
    <row r="60" spans="1:8" ht="12.75" customHeight="1" x14ac:dyDescent="0.2">
      <c r="B60" s="694" t="s">
        <v>432</v>
      </c>
      <c r="C60" s="694"/>
      <c r="D60" s="694">
        <f>H55*5</f>
        <v>0</v>
      </c>
      <c r="E60" s="694"/>
      <c r="F60" s="133">
        <f ca="1">$F$170/28/4</f>
        <v>2.0393298493200002E-2</v>
      </c>
      <c r="G60" s="134">
        <f>G48</f>
        <v>28</v>
      </c>
      <c r="H60" s="135">
        <f ca="1">G60*F60*D60</f>
        <v>0</v>
      </c>
    </row>
    <row r="61" spans="1:8" ht="12.75" customHeight="1" x14ac:dyDescent="0.2">
      <c r="B61" s="694" t="s">
        <v>433</v>
      </c>
      <c r="C61" s="694"/>
      <c r="D61" s="694">
        <f>(D58-1)*2</f>
        <v>0</v>
      </c>
      <c r="E61" s="694"/>
      <c r="F61" s="133">
        <f ca="1">$F$14</f>
        <v>0.20665209139776</v>
      </c>
      <c r="G61" s="134">
        <f>G48</f>
        <v>28</v>
      </c>
      <c r="H61" s="135">
        <f ca="1">G61*F61*D61</f>
        <v>0</v>
      </c>
    </row>
    <row r="62" spans="1:8" ht="12.75" customHeight="1" x14ac:dyDescent="0.2">
      <c r="B62" s="125"/>
      <c r="C62" s="125"/>
      <c r="D62" s="125" t="s">
        <v>421</v>
      </c>
      <c r="E62" s="125" t="s">
        <v>422</v>
      </c>
      <c r="F62" s="136"/>
      <c r="H62" s="136"/>
    </row>
    <row r="63" spans="1:8" ht="12.75" customHeight="1" x14ac:dyDescent="0.2">
      <c r="B63" s="694" t="s">
        <v>434</v>
      </c>
      <c r="C63" s="694"/>
      <c r="D63" s="190">
        <v>0</v>
      </c>
      <c r="E63" s="134">
        <f>D58</f>
        <v>1</v>
      </c>
      <c r="F63" s="135">
        <f ca="1">$F$157/$G$4</f>
        <v>0.89186692076927998</v>
      </c>
      <c r="G63" s="134">
        <f>G61</f>
        <v>28</v>
      </c>
      <c r="H63" s="135">
        <f ca="1">G63*F63*E63*D63</f>
        <v>0</v>
      </c>
    </row>
    <row r="64" spans="1:8" ht="6.75" customHeight="1" x14ac:dyDescent="0.2">
      <c r="B64" s="125"/>
      <c r="C64" s="125"/>
      <c r="D64" s="125"/>
      <c r="E64" s="125"/>
      <c r="F64" s="136"/>
      <c r="H64" s="136"/>
    </row>
    <row r="65" spans="1:8" ht="12.75" customHeight="1" x14ac:dyDescent="0.2">
      <c r="F65" s="695" t="s">
        <v>435</v>
      </c>
      <c r="G65" s="695"/>
      <c r="H65" s="135">
        <f ca="1">SUM(H58:H63)</f>
        <v>2.2079144501971197</v>
      </c>
    </row>
    <row r="66" spans="1:8" ht="12.75" customHeight="1" x14ac:dyDescent="0.2">
      <c r="G66" s="131" t="s">
        <v>5</v>
      </c>
      <c r="H66" s="135">
        <f ca="1">E55*H65</f>
        <v>0</v>
      </c>
    </row>
    <row r="67" spans="1:8" ht="18.75" customHeight="1" x14ac:dyDescent="0.25">
      <c r="A67" s="127" t="s">
        <v>436</v>
      </c>
      <c r="B67" s="127"/>
      <c r="C67" s="127"/>
      <c r="D67" s="127"/>
      <c r="E67" s="127"/>
      <c r="F67" s="127"/>
      <c r="G67" s="128"/>
      <c r="H67" s="127"/>
    </row>
    <row r="68" spans="1:8" ht="6.75" customHeight="1" thickBot="1" x14ac:dyDescent="0.25"/>
    <row r="69" spans="1:8" ht="12.75" customHeight="1" thickBot="1" x14ac:dyDescent="0.25">
      <c r="B69" s="130" t="s">
        <v>437</v>
      </c>
      <c r="C69" s="137"/>
      <c r="D69" s="196"/>
      <c r="E69" s="124" t="s">
        <v>438</v>
      </c>
      <c r="G69" s="129" t="s">
        <v>9</v>
      </c>
      <c r="H69" s="194"/>
    </row>
    <row r="70" spans="1:8" ht="6.75" customHeight="1" x14ac:dyDescent="0.2"/>
    <row r="71" spans="1:8" ht="12.75" customHeight="1" x14ac:dyDescent="0.2">
      <c r="B71" s="695" t="s">
        <v>8</v>
      </c>
      <c r="C71" s="695"/>
      <c r="D71" s="695" t="s">
        <v>9</v>
      </c>
      <c r="E71" s="695"/>
      <c r="F71" s="130" t="s">
        <v>415</v>
      </c>
      <c r="G71" s="131" t="s">
        <v>416</v>
      </c>
      <c r="H71" s="130" t="s">
        <v>5</v>
      </c>
    </row>
    <row r="72" spans="1:8" ht="12.75" customHeight="1" x14ac:dyDescent="0.2">
      <c r="B72" s="694" t="s">
        <v>439</v>
      </c>
      <c r="C72" s="694"/>
      <c r="D72" s="694">
        <f>CEILING(D69/10+1,1)</f>
        <v>1</v>
      </c>
      <c r="E72" s="694"/>
      <c r="F72" s="133">
        <f ca="1">F169/G4</f>
        <v>0.91633887896111998</v>
      </c>
      <c r="G72" s="134">
        <f>G61</f>
        <v>28</v>
      </c>
      <c r="H72" s="135">
        <f ca="1">G72*F72*D72</f>
        <v>25.657488610911358</v>
      </c>
    </row>
    <row r="73" spans="1:8" ht="12.75" customHeight="1" x14ac:dyDescent="0.2">
      <c r="B73" s="694" t="s">
        <v>440</v>
      </c>
      <c r="C73" s="694"/>
      <c r="D73" s="694">
        <f>(D72-1)*2</f>
        <v>0</v>
      </c>
      <c r="E73" s="694"/>
      <c r="F73" s="133">
        <f ca="1">F14</f>
        <v>0.20665209139776</v>
      </c>
      <c r="G73" s="134">
        <f>G61</f>
        <v>28</v>
      </c>
      <c r="H73" s="135">
        <f ca="1">G73*F73*D73</f>
        <v>0</v>
      </c>
    </row>
    <row r="74" spans="1:8" ht="12.75" customHeight="1" x14ac:dyDescent="0.2">
      <c r="B74" s="694" t="s">
        <v>441</v>
      </c>
      <c r="C74" s="694"/>
      <c r="D74" s="694">
        <f>(D72-1)*3</f>
        <v>0</v>
      </c>
      <c r="E74" s="694"/>
      <c r="F74" s="133">
        <f ca="1">F59</f>
        <v>0.23155743405355569</v>
      </c>
      <c r="G74" s="134">
        <f>G61</f>
        <v>28</v>
      </c>
      <c r="H74" s="135">
        <f ca="1">G74*F74*D74</f>
        <v>0</v>
      </c>
    </row>
    <row r="75" spans="1:8" ht="12.75" customHeight="1" x14ac:dyDescent="0.2">
      <c r="B75" s="694" t="s">
        <v>432</v>
      </c>
      <c r="C75" s="694"/>
      <c r="D75" s="694">
        <f>D69*5</f>
        <v>0</v>
      </c>
      <c r="E75" s="694"/>
      <c r="F75" s="133">
        <f ca="1">F60</f>
        <v>2.0393298493200002E-2</v>
      </c>
      <c r="G75" s="134">
        <f>G61</f>
        <v>28</v>
      </c>
      <c r="H75" s="135">
        <f ca="1">G75*F75*D75</f>
        <v>0</v>
      </c>
    </row>
    <row r="76" spans="1:8" ht="12.75" customHeight="1" x14ac:dyDescent="0.2">
      <c r="B76" s="694" t="s">
        <v>442</v>
      </c>
      <c r="C76" s="694"/>
      <c r="D76" s="694">
        <f>D72*2</f>
        <v>2</v>
      </c>
      <c r="E76" s="694"/>
      <c r="F76" s="133">
        <f ca="1">F13</f>
        <v>0.15770817501407999</v>
      </c>
      <c r="G76" s="134">
        <f>G61</f>
        <v>28</v>
      </c>
      <c r="H76" s="135">
        <f ca="1">G76*F76*D76</f>
        <v>8.831657800788479</v>
      </c>
    </row>
    <row r="77" spans="1:8" ht="6.75" customHeight="1" x14ac:dyDescent="0.2"/>
    <row r="78" spans="1:8" ht="12.75" customHeight="1" x14ac:dyDescent="0.2">
      <c r="F78" s="695" t="s">
        <v>443</v>
      </c>
      <c r="G78" s="690"/>
      <c r="H78" s="135">
        <f>IF(D69=0,0,SUM(H72:H76))</f>
        <v>0</v>
      </c>
    </row>
    <row r="79" spans="1:8" ht="12.75" customHeight="1" x14ac:dyDescent="0.2">
      <c r="G79" s="131" t="s">
        <v>5</v>
      </c>
      <c r="H79" s="135">
        <f>H78*H69</f>
        <v>0</v>
      </c>
    </row>
    <row r="80" spans="1:8" ht="6.75" customHeight="1" x14ac:dyDescent="0.2"/>
    <row r="81" spans="1:13" ht="18.75" customHeight="1" x14ac:dyDescent="0.25">
      <c r="A81" s="127" t="s">
        <v>444</v>
      </c>
      <c r="B81" s="127"/>
      <c r="C81" s="127"/>
      <c r="D81" s="127"/>
      <c r="E81" s="127"/>
      <c r="F81" s="127"/>
      <c r="G81" s="128"/>
      <c r="H81" s="127"/>
      <c r="I81" s="136"/>
    </row>
    <row r="82" spans="1:13" ht="5.25" customHeight="1" thickBot="1" x14ac:dyDescent="0.3">
      <c r="A82" s="139"/>
      <c r="B82" s="139"/>
      <c r="C82" s="139"/>
      <c r="D82" s="139"/>
      <c r="E82" s="139"/>
      <c r="F82" s="139"/>
      <c r="G82" s="140"/>
      <c r="H82" s="139"/>
    </row>
    <row r="83" spans="1:13" ht="12.75" customHeight="1" thickBot="1" x14ac:dyDescent="0.25">
      <c r="B83" s="695" t="s">
        <v>3</v>
      </c>
      <c r="C83" s="690"/>
      <c r="D83" s="196"/>
      <c r="E83" s="125" t="s">
        <v>438</v>
      </c>
      <c r="G83" s="129" t="s">
        <v>9</v>
      </c>
      <c r="H83" s="196"/>
    </row>
    <row r="84" spans="1:13" ht="5.25" customHeight="1" x14ac:dyDescent="0.2"/>
    <row r="85" spans="1:13" ht="12.75" customHeight="1" x14ac:dyDescent="0.2">
      <c r="B85" s="695" t="s">
        <v>8</v>
      </c>
      <c r="C85" s="695"/>
      <c r="D85" s="695" t="s">
        <v>9</v>
      </c>
      <c r="E85" s="695"/>
      <c r="F85" s="130" t="s">
        <v>415</v>
      </c>
      <c r="G85" s="131" t="s">
        <v>416</v>
      </c>
      <c r="H85" s="131" t="s">
        <v>5</v>
      </c>
    </row>
    <row r="86" spans="1:13" ht="12.75" customHeight="1" x14ac:dyDescent="0.2">
      <c r="B86" s="694" t="s">
        <v>445</v>
      </c>
      <c r="C86" s="694"/>
      <c r="D86" s="694">
        <f>IF(D83=0,0,1)</f>
        <v>0</v>
      </c>
      <c r="E86" s="694"/>
      <c r="F86" s="133">
        <f ca="1">F158/G4</f>
        <v>1.29701378416752</v>
      </c>
      <c r="G86" s="134">
        <f>G76</f>
        <v>28</v>
      </c>
      <c r="H86" s="135">
        <f t="shared" ref="H86:H94" ca="1" si="0">G86*F86*D86</f>
        <v>0</v>
      </c>
    </row>
    <row r="87" spans="1:13" ht="12.75" customHeight="1" x14ac:dyDescent="0.2">
      <c r="B87" s="694" t="s">
        <v>440</v>
      </c>
      <c r="C87" s="694"/>
      <c r="D87" s="694">
        <f>D83/5*2</f>
        <v>0</v>
      </c>
      <c r="E87" s="694"/>
      <c r="F87" s="133">
        <f ca="1">F29</f>
        <v>0.20665209139776</v>
      </c>
      <c r="G87" s="134">
        <f>G76</f>
        <v>28</v>
      </c>
      <c r="H87" s="135">
        <f t="shared" ca="1" si="0"/>
        <v>0</v>
      </c>
    </row>
    <row r="88" spans="1:13" ht="12.75" customHeight="1" x14ac:dyDescent="0.2">
      <c r="B88" s="694" t="s">
        <v>446</v>
      </c>
      <c r="C88" s="694"/>
      <c r="D88" s="694">
        <f>CEILING(D83/6,1)</f>
        <v>0</v>
      </c>
      <c r="E88" s="694"/>
      <c r="F88" s="133">
        <f ca="1">F161/G4</f>
        <v>3.7605242421460798</v>
      </c>
      <c r="G88" s="134">
        <f>G76</f>
        <v>28</v>
      </c>
      <c r="H88" s="135">
        <f t="shared" ca="1" si="0"/>
        <v>0</v>
      </c>
    </row>
    <row r="89" spans="1:13" ht="12.75" customHeight="1" x14ac:dyDescent="0.2">
      <c r="B89" s="694" t="s">
        <v>447</v>
      </c>
      <c r="C89" s="694"/>
      <c r="D89" s="694">
        <f>D88-1</f>
        <v>-1</v>
      </c>
      <c r="E89" s="694"/>
      <c r="F89" s="133">
        <f ca="1">F162/G4</f>
        <v>0.4486525668504</v>
      </c>
      <c r="G89" s="134">
        <f>G76</f>
        <v>28</v>
      </c>
      <c r="H89" s="135">
        <f t="shared" ca="1" si="0"/>
        <v>-12.5622718718112</v>
      </c>
    </row>
    <row r="90" spans="1:13" ht="12.75" customHeight="1" x14ac:dyDescent="0.2">
      <c r="B90" s="694" t="s">
        <v>448</v>
      </c>
      <c r="C90" s="694"/>
      <c r="D90" s="694">
        <f>D88-1</f>
        <v>-1</v>
      </c>
      <c r="E90" s="694"/>
      <c r="F90" s="133">
        <f ca="1">F163/G4</f>
        <v>0.64034957268647996</v>
      </c>
      <c r="G90" s="134">
        <f>G76</f>
        <v>28</v>
      </c>
      <c r="H90" s="135">
        <f t="shared" ca="1" si="0"/>
        <v>-17.929788035221438</v>
      </c>
    </row>
    <row r="91" spans="1:13" ht="12.75" customHeight="1" x14ac:dyDescent="0.2">
      <c r="B91" s="694" t="s">
        <v>449</v>
      </c>
      <c r="C91" s="694"/>
      <c r="D91" s="694">
        <f>4</f>
        <v>4</v>
      </c>
      <c r="E91" s="694"/>
      <c r="F91" s="133">
        <f ca="1">F76</f>
        <v>0.15770817501407999</v>
      </c>
      <c r="G91" s="134">
        <f>G76</f>
        <v>28</v>
      </c>
      <c r="H91" s="135">
        <f t="shared" ca="1" si="0"/>
        <v>17.663315601576958</v>
      </c>
    </row>
    <row r="92" spans="1:13" ht="12.75" customHeight="1" x14ac:dyDescent="0.2">
      <c r="B92" s="687" t="s">
        <v>197</v>
      </c>
      <c r="C92" s="688"/>
      <c r="D92" s="687">
        <f>CEILING(D83/15,1)*2</f>
        <v>0</v>
      </c>
      <c r="E92" s="688"/>
      <c r="F92" s="133">
        <f ca="1">F15</f>
        <v>0.28142751920615999</v>
      </c>
      <c r="G92" s="134">
        <f>G76</f>
        <v>28</v>
      </c>
      <c r="H92" s="135">
        <f t="shared" ca="1" si="0"/>
        <v>0</v>
      </c>
    </row>
    <row r="93" spans="1:13" ht="12.75" customHeight="1" x14ac:dyDescent="0.2">
      <c r="B93" s="694" t="s">
        <v>450</v>
      </c>
      <c r="C93" s="694"/>
      <c r="D93" s="694">
        <f>D83/5*2-2</f>
        <v>-2</v>
      </c>
      <c r="E93" s="694"/>
      <c r="F93" s="133">
        <f ca="1">F12</f>
        <v>0.76678802334432006</v>
      </c>
      <c r="G93" s="134">
        <f>G76</f>
        <v>28</v>
      </c>
      <c r="H93" s="135">
        <f t="shared" ca="1" si="0"/>
        <v>-42.940129307281921</v>
      </c>
    </row>
    <row r="94" spans="1:13" ht="12.75" customHeight="1" x14ac:dyDescent="0.2">
      <c r="B94" s="694" t="s">
        <v>451</v>
      </c>
      <c r="C94" s="694"/>
      <c r="D94" s="694">
        <f>D93</f>
        <v>-2</v>
      </c>
      <c r="E94" s="694"/>
      <c r="F94" s="133">
        <f ca="1">F16</f>
        <v>5.4382129315199999E-2</v>
      </c>
      <c r="G94" s="134">
        <f>G76</f>
        <v>28</v>
      </c>
      <c r="H94" s="135">
        <f t="shared" ca="1" si="0"/>
        <v>-3.0453992416512001</v>
      </c>
    </row>
    <row r="95" spans="1:13" ht="12.75" customHeight="1" thickBot="1" x14ac:dyDescent="0.25">
      <c r="B95" s="125"/>
      <c r="C95" s="125"/>
      <c r="D95" s="125" t="s">
        <v>452</v>
      </c>
      <c r="E95" s="125" t="s">
        <v>20</v>
      </c>
      <c r="F95" s="141"/>
      <c r="G95" s="142"/>
      <c r="H95" s="143"/>
    </row>
    <row r="96" spans="1:13" ht="12.75" customHeight="1" thickBot="1" x14ac:dyDescent="0.25">
      <c r="B96" s="687" t="s">
        <v>453</v>
      </c>
      <c r="C96" s="693"/>
      <c r="D96" s="196">
        <v>0</v>
      </c>
      <c r="E96" s="196">
        <v>8</v>
      </c>
      <c r="F96" s="153">
        <f ca="1">((24+2)*E96*F170+F186)/G4</f>
        <v>3.3135031391751362</v>
      </c>
      <c r="G96" s="134">
        <f>G93</f>
        <v>28</v>
      </c>
      <c r="H96" s="135">
        <f ca="1">G96*F96*D96</f>
        <v>0</v>
      </c>
      <c r="L96" s="136"/>
      <c r="M96" s="136"/>
    </row>
    <row r="97" spans="1:14" ht="5.25" customHeight="1" x14ac:dyDescent="0.2">
      <c r="L97" s="136"/>
      <c r="M97" s="136"/>
    </row>
    <row r="98" spans="1:14" ht="12.75" customHeight="1" x14ac:dyDescent="0.2">
      <c r="G98" s="131" t="s">
        <v>454</v>
      </c>
      <c r="H98" s="135">
        <f>IF(D83=0,0,SUM(H86:H96))</f>
        <v>0</v>
      </c>
      <c r="L98" s="136"/>
      <c r="M98" s="136"/>
    </row>
    <row r="99" spans="1:14" ht="12.75" customHeight="1" x14ac:dyDescent="0.2">
      <c r="G99" s="131" t="s">
        <v>5</v>
      </c>
      <c r="H99" s="135">
        <f>IF(D83=0,0,H98*H83)</f>
        <v>0</v>
      </c>
      <c r="L99" s="136"/>
      <c r="M99" s="136"/>
    </row>
    <row r="100" spans="1:14" ht="5.25" customHeight="1" x14ac:dyDescent="0.2">
      <c r="L100" s="136"/>
      <c r="M100" s="136"/>
    </row>
    <row r="101" spans="1:14" ht="18.75" customHeight="1" x14ac:dyDescent="0.25">
      <c r="A101" s="127" t="s">
        <v>195</v>
      </c>
      <c r="B101" s="127"/>
      <c r="C101" s="127"/>
      <c r="D101" s="127"/>
      <c r="E101" s="127"/>
      <c r="F101" s="127"/>
      <c r="G101" s="128"/>
      <c r="H101" s="144"/>
      <c r="L101" s="136"/>
      <c r="M101" s="136"/>
    </row>
    <row r="102" spans="1:14" ht="6" customHeight="1" x14ac:dyDescent="0.2">
      <c r="L102" s="136"/>
      <c r="M102" s="136"/>
    </row>
    <row r="103" spans="1:14" ht="12.75" customHeight="1" x14ac:dyDescent="0.2">
      <c r="B103" s="695" t="s">
        <v>455</v>
      </c>
      <c r="C103" s="695"/>
      <c r="D103" s="131" t="s">
        <v>456</v>
      </c>
      <c r="E103" s="131" t="s">
        <v>9</v>
      </c>
      <c r="F103" s="131" t="s">
        <v>415</v>
      </c>
      <c r="G103" s="131" t="s">
        <v>416</v>
      </c>
      <c r="H103" s="131" t="s">
        <v>457</v>
      </c>
      <c r="L103" s="136"/>
      <c r="M103" s="136"/>
    </row>
    <row r="104" spans="1:14" ht="12.75" customHeight="1" thickBot="1" x14ac:dyDescent="0.25">
      <c r="B104" s="145" t="s">
        <v>458</v>
      </c>
      <c r="C104" s="146"/>
      <c r="D104" s="197"/>
      <c r="E104" s="197"/>
      <c r="F104" s="147">
        <f ca="1">F164/14/G4</f>
        <v>0.11196503538438035</v>
      </c>
      <c r="G104" s="148">
        <f>G96</f>
        <v>28</v>
      </c>
      <c r="H104" s="149">
        <f ca="1">G104*F104*E104*D104</f>
        <v>0</v>
      </c>
      <c r="L104" s="136"/>
      <c r="M104" s="136"/>
    </row>
    <row r="105" spans="1:14" ht="12.75" customHeight="1" thickBot="1" x14ac:dyDescent="0.25">
      <c r="B105" s="687" t="s">
        <v>459</v>
      </c>
      <c r="C105" s="693"/>
      <c r="D105" s="196"/>
      <c r="E105" s="184" t="s">
        <v>199</v>
      </c>
      <c r="F105" s="133">
        <f ca="1">F172/G4</f>
        <v>0.10332604569888</v>
      </c>
      <c r="G105" s="134">
        <f>G96</f>
        <v>28</v>
      </c>
      <c r="H105" s="133">
        <f ca="1">G105*F105*D105</f>
        <v>0</v>
      </c>
      <c r="L105" s="136"/>
      <c r="M105" s="136"/>
    </row>
    <row r="106" spans="1:14" ht="12.75" customHeight="1" thickBot="1" x14ac:dyDescent="0.25">
      <c r="B106" s="151" t="s">
        <v>460</v>
      </c>
      <c r="C106" s="152"/>
      <c r="D106" s="196"/>
      <c r="E106" s="196"/>
      <c r="F106" s="153">
        <f ca="1">F171/G4</f>
        <v>3.2085456295968005E-2</v>
      </c>
      <c r="G106" s="134">
        <f>G96</f>
        <v>28</v>
      </c>
      <c r="H106" s="133">
        <f ca="1">G106*F106*E106*D106</f>
        <v>0</v>
      </c>
      <c r="L106" s="136"/>
      <c r="M106" s="136"/>
    </row>
    <row r="107" spans="1:14" ht="12.75" customHeight="1" thickBot="1" x14ac:dyDescent="0.25">
      <c r="B107" s="151" t="s">
        <v>461</v>
      </c>
      <c r="C107" s="152"/>
      <c r="D107" s="196"/>
      <c r="E107" s="154">
        <f>CEILING(D107/8,1)</f>
        <v>0</v>
      </c>
      <c r="F107" s="133">
        <f ca="1">F187/G4</f>
        <v>0.59543340185200033</v>
      </c>
      <c r="G107" s="134">
        <f>G96</f>
        <v>28</v>
      </c>
      <c r="H107" s="133">
        <f ca="1">G107*F107*E107</f>
        <v>0</v>
      </c>
      <c r="L107" s="136"/>
      <c r="M107" s="136"/>
    </row>
    <row r="108" spans="1:14" ht="6" customHeight="1" x14ac:dyDescent="0.2">
      <c r="H108" s="141"/>
      <c r="L108" s="136"/>
      <c r="M108" s="136"/>
    </row>
    <row r="109" spans="1:14" ht="12.75" customHeight="1" thickBot="1" x14ac:dyDescent="0.25">
      <c r="B109" s="695" t="s">
        <v>455</v>
      </c>
      <c r="C109" s="695"/>
      <c r="D109" s="131" t="s">
        <v>9</v>
      </c>
      <c r="E109" s="131" t="s">
        <v>199</v>
      </c>
      <c r="F109" s="131" t="s">
        <v>415</v>
      </c>
      <c r="G109" s="131"/>
      <c r="H109" s="131" t="s">
        <v>457</v>
      </c>
      <c r="L109" s="136"/>
      <c r="M109" s="136"/>
      <c r="N109" s="136"/>
    </row>
    <row r="110" spans="1:14" ht="12.75" customHeight="1" thickBot="1" x14ac:dyDescent="0.25">
      <c r="B110" s="694" t="s">
        <v>432</v>
      </c>
      <c r="C110" s="687"/>
      <c r="D110" s="196"/>
      <c r="E110" s="138" t="s">
        <v>198</v>
      </c>
      <c r="F110" s="133">
        <f ca="1">F170</f>
        <v>2.2840494312384001</v>
      </c>
      <c r="G110" s="134">
        <v>1</v>
      </c>
      <c r="H110" s="133">
        <f ca="1">G110*F110*D110</f>
        <v>0</v>
      </c>
      <c r="L110" s="136"/>
      <c r="M110" s="136"/>
      <c r="N110" s="136"/>
    </row>
    <row r="111" spans="1:14" ht="12.75" customHeight="1" thickBot="1" x14ac:dyDescent="0.25">
      <c r="B111" s="696" t="s">
        <v>462</v>
      </c>
      <c r="C111" s="697"/>
      <c r="D111" s="155">
        <f>D15+D92+D30+D45</f>
        <v>0</v>
      </c>
      <c r="E111" s="138" t="s">
        <v>7</v>
      </c>
      <c r="F111" s="133">
        <f ca="1">F188</f>
        <v>6.615926687244448</v>
      </c>
      <c r="G111" s="134">
        <v>1</v>
      </c>
      <c r="H111" s="133">
        <f ca="1">G111*F111*D111</f>
        <v>0</v>
      </c>
      <c r="L111" s="136"/>
      <c r="M111" s="136"/>
    </row>
    <row r="112" spans="1:14" ht="12.75" customHeight="1" thickBot="1" x14ac:dyDescent="0.25">
      <c r="B112" s="694" t="s">
        <v>463</v>
      </c>
      <c r="C112" s="687"/>
      <c r="D112" s="196"/>
      <c r="E112" s="138" t="s">
        <v>198</v>
      </c>
      <c r="F112" s="133">
        <f ca="1">F174</f>
        <v>0.33716920175423998</v>
      </c>
      <c r="G112" s="134">
        <v>1</v>
      </c>
      <c r="H112" s="133">
        <f ca="1">G112*F112*D112</f>
        <v>0</v>
      </c>
      <c r="I112" s="136"/>
      <c r="L112" s="136"/>
      <c r="M112" s="136"/>
    </row>
    <row r="113" spans="1:13" ht="12.75" customHeight="1" thickBot="1" x14ac:dyDescent="0.25">
      <c r="B113" s="694" t="s">
        <v>464</v>
      </c>
      <c r="C113" s="687"/>
      <c r="D113" s="196"/>
      <c r="E113" s="138" t="s">
        <v>7</v>
      </c>
      <c r="F113" s="133">
        <f ca="1">F189</f>
        <v>66.159266872444476</v>
      </c>
      <c r="G113" s="134">
        <v>1</v>
      </c>
      <c r="H113" s="133">
        <f ca="1">F113*G113*D113</f>
        <v>0</v>
      </c>
      <c r="I113" s="136"/>
      <c r="L113" s="136"/>
      <c r="M113" s="136"/>
    </row>
    <row r="114" spans="1:13" ht="6" customHeight="1" x14ac:dyDescent="0.2">
      <c r="H114" s="141"/>
      <c r="L114" s="136"/>
      <c r="M114" s="136"/>
    </row>
    <row r="115" spans="1:13" ht="18.75" customHeight="1" x14ac:dyDescent="0.25">
      <c r="A115" s="127" t="s">
        <v>465</v>
      </c>
      <c r="B115" s="127"/>
      <c r="C115" s="127"/>
      <c r="D115" s="127"/>
      <c r="E115" s="127"/>
      <c r="F115" s="127"/>
      <c r="G115" s="128"/>
      <c r="H115" s="156"/>
      <c r="I115" s="136"/>
      <c r="L115" s="136"/>
      <c r="M115" s="136"/>
    </row>
    <row r="116" spans="1:13" ht="5.25" customHeight="1" x14ac:dyDescent="0.25">
      <c r="A116" s="139"/>
      <c r="B116" s="139"/>
      <c r="C116" s="139"/>
      <c r="D116" s="139"/>
      <c r="E116" s="139"/>
      <c r="F116" s="139"/>
      <c r="G116" s="140"/>
      <c r="H116" s="157"/>
      <c r="I116" s="136"/>
      <c r="L116" s="136"/>
      <c r="M116" s="136"/>
    </row>
    <row r="117" spans="1:13" ht="12.75" customHeight="1" thickBot="1" x14ac:dyDescent="0.25">
      <c r="B117" s="690" t="s">
        <v>455</v>
      </c>
      <c r="C117" s="691"/>
      <c r="D117" s="131" t="s">
        <v>466</v>
      </c>
      <c r="E117" s="158" t="s">
        <v>467</v>
      </c>
      <c r="F117" s="131" t="s">
        <v>468</v>
      </c>
      <c r="G117" s="131" t="s">
        <v>469</v>
      </c>
      <c r="H117" s="159" t="s">
        <v>457</v>
      </c>
      <c r="L117" s="136"/>
      <c r="M117" s="136"/>
    </row>
    <row r="118" spans="1:13" ht="12.75" customHeight="1" thickBot="1" x14ac:dyDescent="0.25">
      <c r="B118" s="694" t="s">
        <v>470</v>
      </c>
      <c r="C118" s="694"/>
      <c r="D118" s="160">
        <f>D8*D9*0.7+D23*D24*0.7+D38*D39*0.7+D83*7*1.5*H83+D69*10*H69+(H55*E55*6)</f>
        <v>0</v>
      </c>
      <c r="E118" s="203">
        <f ca="1">F179</f>
        <v>3.8372374786017796</v>
      </c>
      <c r="F118" s="201"/>
      <c r="G118" s="161">
        <f ca="1">H118/82</f>
        <v>0</v>
      </c>
      <c r="H118" s="133">
        <f ca="1">E118*D118</f>
        <v>0</v>
      </c>
      <c r="L118" s="136"/>
      <c r="M118" s="136"/>
    </row>
    <row r="119" spans="1:13" ht="12.75" customHeight="1" thickBot="1" x14ac:dyDescent="0.25">
      <c r="B119" s="694" t="s">
        <v>471</v>
      </c>
      <c r="C119" s="687"/>
      <c r="D119" s="196"/>
      <c r="E119" s="124" t="s">
        <v>11</v>
      </c>
      <c r="F119" s="202">
        <v>175</v>
      </c>
      <c r="G119" s="132"/>
      <c r="H119" s="133">
        <f>F119*D119</f>
        <v>0</v>
      </c>
      <c r="L119" s="136"/>
      <c r="M119" s="136"/>
    </row>
    <row r="120" spans="1:13" ht="12.75" customHeight="1" thickBot="1" x14ac:dyDescent="0.25">
      <c r="B120" s="694" t="s">
        <v>472</v>
      </c>
      <c r="C120" s="694"/>
      <c r="D120" s="163">
        <f>D118</f>
        <v>0</v>
      </c>
      <c r="E120" s="203">
        <f ca="1">F180</f>
        <v>1.4555038711937787</v>
      </c>
      <c r="F120" s="150"/>
      <c r="G120" s="161">
        <f ca="1">H120/82</f>
        <v>0</v>
      </c>
      <c r="H120" s="133">
        <f ca="1">E120*D120</f>
        <v>0</v>
      </c>
      <c r="L120" s="136"/>
      <c r="M120" s="136"/>
    </row>
    <row r="121" spans="1:13" ht="12.75" customHeight="1" thickBot="1" x14ac:dyDescent="0.25">
      <c r="B121" s="694" t="s">
        <v>473</v>
      </c>
      <c r="C121" s="687"/>
      <c r="D121" s="196"/>
      <c r="E121" s="182" t="s">
        <v>11</v>
      </c>
      <c r="F121" s="202">
        <v>175</v>
      </c>
      <c r="G121" s="132"/>
      <c r="H121" s="133">
        <f>F121*D121</f>
        <v>0</v>
      </c>
      <c r="L121" s="136"/>
      <c r="M121" s="136"/>
    </row>
    <row r="122" spans="1:13" ht="5.25" customHeight="1" x14ac:dyDescent="0.2">
      <c r="H122" s="141"/>
      <c r="L122" s="136"/>
      <c r="M122" s="136"/>
    </row>
    <row r="123" spans="1:13" ht="18.75" customHeight="1" x14ac:dyDescent="0.25">
      <c r="A123" s="127" t="s">
        <v>474</v>
      </c>
      <c r="B123" s="127"/>
      <c r="C123" s="127"/>
      <c r="D123" s="127"/>
      <c r="E123" s="127"/>
      <c r="F123" s="127"/>
      <c r="G123" s="128"/>
      <c r="H123" s="156"/>
      <c r="J123" s="125"/>
      <c r="L123" s="136"/>
      <c r="M123" s="136"/>
    </row>
    <row r="124" spans="1:13" ht="6.75" customHeight="1" x14ac:dyDescent="0.2">
      <c r="H124" s="141"/>
      <c r="L124" s="136"/>
      <c r="M124" s="136"/>
    </row>
    <row r="125" spans="1:13" ht="12.75" customHeight="1" thickBot="1" x14ac:dyDescent="0.25">
      <c r="B125" s="695" t="s">
        <v>455</v>
      </c>
      <c r="C125" s="695"/>
      <c r="D125" s="158" t="s">
        <v>475</v>
      </c>
      <c r="E125" s="158"/>
      <c r="F125" s="158" t="s">
        <v>476</v>
      </c>
      <c r="G125" s="131" t="s">
        <v>477</v>
      </c>
      <c r="H125" s="159" t="s">
        <v>5</v>
      </c>
      <c r="L125" s="136"/>
      <c r="M125" s="136"/>
    </row>
    <row r="126" spans="1:13" ht="12.75" customHeight="1" thickBot="1" x14ac:dyDescent="0.25">
      <c r="B126" s="705" t="s">
        <v>478</v>
      </c>
      <c r="C126" s="706"/>
      <c r="D126" s="707">
        <v>0</v>
      </c>
      <c r="E126" s="709"/>
      <c r="F126" s="708"/>
      <c r="G126" s="166">
        <f ca="1">F177</f>
        <v>793.91120246933372</v>
      </c>
      <c r="H126" s="167">
        <f ca="1">G126*D126</f>
        <v>0</v>
      </c>
      <c r="L126" s="136"/>
      <c r="M126" s="136"/>
    </row>
    <row r="127" spans="1:13" ht="12.75" customHeight="1" thickBot="1" x14ac:dyDescent="0.25">
      <c r="B127" s="164" t="s">
        <v>479</v>
      </c>
      <c r="C127" s="165"/>
      <c r="D127" s="707">
        <v>0</v>
      </c>
      <c r="E127" s="709"/>
      <c r="F127" s="708"/>
      <c r="G127" s="166">
        <f ca="1">F178</f>
        <v>1984.7780061733342</v>
      </c>
      <c r="H127" s="133">
        <f ca="1">G127*D127</f>
        <v>0</v>
      </c>
      <c r="L127" s="136"/>
      <c r="M127" s="136"/>
    </row>
    <row r="128" spans="1:13" ht="12.75" customHeight="1" thickBot="1" x14ac:dyDescent="0.25">
      <c r="B128" s="164" t="s">
        <v>480</v>
      </c>
      <c r="C128" s="164"/>
      <c r="D128" s="168">
        <f ca="1">D118*F176</f>
        <v>0</v>
      </c>
      <c r="E128" s="168">
        <f ca="1">CEILING(D128,F175)</f>
        <v>0</v>
      </c>
      <c r="F128" s="169">
        <f ca="1">D120*F176</f>
        <v>0</v>
      </c>
      <c r="G128" s="162">
        <f ca="1">CEILING(F128,F175)</f>
        <v>0</v>
      </c>
      <c r="H128" s="133">
        <f ca="1">G128+E128</f>
        <v>0</v>
      </c>
      <c r="L128" s="136"/>
      <c r="M128" s="136"/>
    </row>
    <row r="129" spans="1:13" ht="12.75" customHeight="1" thickBot="1" x14ac:dyDescent="0.25">
      <c r="B129" s="164" t="s">
        <v>481</v>
      </c>
      <c r="C129" s="165"/>
      <c r="D129" s="707">
        <v>0</v>
      </c>
      <c r="E129" s="708"/>
      <c r="F129" s="170"/>
      <c r="G129" s="171">
        <f>2*8*35</f>
        <v>560</v>
      </c>
      <c r="H129" s="133">
        <f>G129*D129</f>
        <v>0</v>
      </c>
      <c r="L129" s="136"/>
      <c r="M129" s="136"/>
    </row>
    <row r="130" spans="1:13" ht="12.75" customHeight="1" thickBot="1" x14ac:dyDescent="0.25">
      <c r="B130" s="164" t="s">
        <v>482</v>
      </c>
      <c r="C130" s="164"/>
      <c r="D130" s="148"/>
      <c r="E130" s="172"/>
      <c r="F130" s="196">
        <v>0</v>
      </c>
      <c r="G130" s="198">
        <v>0</v>
      </c>
      <c r="H130" s="153">
        <f>G130*F130</f>
        <v>0</v>
      </c>
    </row>
    <row r="131" spans="1:13" ht="12.75" customHeight="1" x14ac:dyDescent="0.2">
      <c r="G131" s="131" t="s">
        <v>5</v>
      </c>
      <c r="H131" s="141">
        <f ca="1">SUM(H126:H130)</f>
        <v>0</v>
      </c>
    </row>
    <row r="132" spans="1:13" ht="6.75" customHeight="1" x14ac:dyDescent="0.2">
      <c r="H132" s="141"/>
    </row>
    <row r="133" spans="1:13" ht="18.75" customHeight="1" x14ac:dyDescent="0.25">
      <c r="A133" s="127" t="s">
        <v>5</v>
      </c>
      <c r="B133" s="127"/>
      <c r="C133" s="127"/>
      <c r="D133" s="127"/>
      <c r="E133" s="127"/>
      <c r="F133" s="127"/>
      <c r="G133" s="128"/>
      <c r="H133" s="156"/>
    </row>
    <row r="134" spans="1:13" ht="12.75" customHeight="1" x14ac:dyDescent="0.2">
      <c r="H134" s="141"/>
    </row>
    <row r="135" spans="1:13" ht="12.75" customHeight="1" x14ac:dyDescent="0.2">
      <c r="B135" s="124" t="s">
        <v>23</v>
      </c>
      <c r="H135" s="141"/>
    </row>
    <row r="136" spans="1:13" ht="12.75" customHeight="1" x14ac:dyDescent="0.2">
      <c r="C136" s="124" t="s">
        <v>483</v>
      </c>
      <c r="F136" s="173"/>
      <c r="G136" s="174"/>
      <c r="H136" s="141">
        <f ca="1">H118+H119</f>
        <v>0</v>
      </c>
    </row>
    <row r="137" spans="1:13" ht="12.75" customHeight="1" x14ac:dyDescent="0.2">
      <c r="H137" s="136"/>
    </row>
    <row r="138" spans="1:13" ht="12.75" customHeight="1" x14ac:dyDescent="0.2">
      <c r="B138" s="124" t="s">
        <v>472</v>
      </c>
      <c r="H138" s="141"/>
    </row>
    <row r="139" spans="1:13" ht="12.75" customHeight="1" x14ac:dyDescent="0.2">
      <c r="C139" s="124" t="s">
        <v>484</v>
      </c>
      <c r="G139" s="126" t="s">
        <v>485</v>
      </c>
      <c r="H139" s="141">
        <f ca="1">H120+H121</f>
        <v>0</v>
      </c>
    </row>
    <row r="140" spans="1:13" ht="12.75" customHeight="1" x14ac:dyDescent="0.2">
      <c r="H140" s="141"/>
    </row>
    <row r="141" spans="1:13" ht="12.75" customHeight="1" thickBot="1" x14ac:dyDescent="0.25">
      <c r="B141" s="124" t="s">
        <v>486</v>
      </c>
      <c r="H141" s="141"/>
    </row>
    <row r="142" spans="1:13" ht="12.75" customHeight="1" thickBot="1" x14ac:dyDescent="0.25">
      <c r="C142" s="124" t="s">
        <v>487</v>
      </c>
      <c r="D142" s="194">
        <v>0</v>
      </c>
      <c r="E142" s="124" t="s">
        <v>488</v>
      </c>
      <c r="F142" s="196">
        <v>0</v>
      </c>
      <c r="G142" s="125" t="s">
        <v>489</v>
      </c>
      <c r="H142" s="141">
        <f ca="1">(H21+H36+H51+H66+H99+H104+H105+H106+H107+H79)*(F142+D142/28)</f>
        <v>0</v>
      </c>
    </row>
    <row r="143" spans="1:13" ht="12.75" customHeight="1" x14ac:dyDescent="0.2">
      <c r="H143" s="141"/>
      <c r="I143" s="141"/>
    </row>
    <row r="144" spans="1:13" ht="12.75" customHeight="1" x14ac:dyDescent="0.2">
      <c r="B144" s="124" t="s">
        <v>490</v>
      </c>
      <c r="H144" s="141"/>
      <c r="I144" s="141"/>
    </row>
    <row r="145" spans="1:9" ht="12.75" customHeight="1" thickBot="1" x14ac:dyDescent="0.25">
      <c r="C145" s="124" t="s">
        <v>491</v>
      </c>
      <c r="G145" s="126" t="s">
        <v>485</v>
      </c>
      <c r="H145" s="175">
        <f ca="1">H131+H110+H111+H112+H113</f>
        <v>0</v>
      </c>
      <c r="I145" s="141"/>
    </row>
    <row r="146" spans="1:9" ht="12.75" customHeight="1" thickTop="1" x14ac:dyDescent="0.2">
      <c r="H146" s="141"/>
    </row>
    <row r="147" spans="1:9" ht="12.75" customHeight="1" thickBot="1" x14ac:dyDescent="0.25">
      <c r="B147" s="124" t="s">
        <v>5</v>
      </c>
      <c r="H147" s="141">
        <f ca="1">H145+H142+H139+H136</f>
        <v>0</v>
      </c>
    </row>
    <row r="148" spans="1:9" ht="12.75" customHeight="1" thickBot="1" x14ac:dyDescent="0.25">
      <c r="B148" s="124" t="s">
        <v>492</v>
      </c>
      <c r="D148" s="199">
        <v>0</v>
      </c>
      <c r="H148" s="175">
        <f ca="1">D148*H147</f>
        <v>0</v>
      </c>
    </row>
    <row r="149" spans="1:9" ht="12.75" customHeight="1" x14ac:dyDescent="0.2">
      <c r="B149" s="124" t="s">
        <v>493</v>
      </c>
      <c r="H149" s="141">
        <f ca="1">H147-H148</f>
        <v>0</v>
      </c>
    </row>
    <row r="150" spans="1:9" ht="12.75" customHeight="1" x14ac:dyDescent="0.2">
      <c r="B150" s="182"/>
      <c r="C150" s="182"/>
      <c r="E150" s="182"/>
      <c r="H150" s="141"/>
    </row>
    <row r="151" spans="1:9" ht="12.75" customHeight="1" x14ac:dyDescent="0.2">
      <c r="A151" s="160"/>
      <c r="D151" s="176"/>
      <c r="F151" s="176"/>
      <c r="G151" s="176"/>
      <c r="H151" s="187" t="s">
        <v>10</v>
      </c>
    </row>
    <row r="152" spans="1:9" ht="12.75" customHeight="1" x14ac:dyDescent="0.2">
      <c r="A152" s="187" t="s">
        <v>532</v>
      </c>
      <c r="B152" s="698">
        <f ca="1">C3</f>
        <v>45982</v>
      </c>
      <c r="C152" s="698"/>
      <c r="E152" s="679" t="s">
        <v>494</v>
      </c>
      <c r="F152" s="679"/>
      <c r="G152" s="200">
        <v>2.8400000000000002E-2</v>
      </c>
      <c r="H152" s="204"/>
    </row>
    <row r="153" spans="1:9" ht="12.75" customHeight="1" thickBot="1" x14ac:dyDescent="0.25">
      <c r="A153" s="163"/>
      <c r="C153" s="177"/>
      <c r="E153" s="178"/>
      <c r="G153" s="124"/>
      <c r="H153" s="177"/>
    </row>
    <row r="154" spans="1:9" ht="12.75" customHeight="1" thickBot="1" x14ac:dyDescent="0.25">
      <c r="A154" s="701" t="s">
        <v>8</v>
      </c>
      <c r="B154" s="700"/>
      <c r="C154" s="699" t="s">
        <v>495</v>
      </c>
      <c r="D154" s="700"/>
      <c r="E154" s="188" t="s">
        <v>496</v>
      </c>
      <c r="F154" s="188" t="s">
        <v>497</v>
      </c>
      <c r="G154" s="188" t="s">
        <v>407</v>
      </c>
      <c r="H154" s="189" t="s">
        <v>498</v>
      </c>
    </row>
    <row r="155" spans="1:9" ht="12.75" customHeight="1" x14ac:dyDescent="0.2">
      <c r="A155" s="702"/>
      <c r="B155" s="703"/>
      <c r="C155" s="702"/>
      <c r="D155" s="703"/>
      <c r="E155" s="185"/>
      <c r="F155" s="185"/>
      <c r="G155" s="185"/>
      <c r="H155" s="185"/>
    </row>
    <row r="156" spans="1:9" ht="12.75" customHeight="1" x14ac:dyDescent="0.2">
      <c r="A156" s="694" t="s">
        <v>417</v>
      </c>
      <c r="B156" s="694"/>
      <c r="C156" s="704">
        <v>141</v>
      </c>
      <c r="D156" s="704"/>
      <c r="E156" s="179" t="s">
        <v>499</v>
      </c>
      <c r="F156" s="186">
        <f ca="1">C156*(1+$G$152)^(FLOOR($B$152-G156,365)/365)</f>
        <v>153.35760466886401</v>
      </c>
      <c r="G156" s="180">
        <v>44727</v>
      </c>
      <c r="H156" s="181" t="s">
        <v>500</v>
      </c>
    </row>
    <row r="157" spans="1:9" ht="12.75" customHeight="1" x14ac:dyDescent="0.2">
      <c r="A157" s="694" t="s">
        <v>501</v>
      </c>
      <c r="B157" s="694"/>
      <c r="C157" s="704">
        <v>164</v>
      </c>
      <c r="D157" s="704"/>
      <c r="E157" s="179" t="s">
        <v>499</v>
      </c>
      <c r="F157" s="186">
        <f t="shared" ref="F157:F190" ca="1" si="1">C157*(1+$G$152)^(FLOOR($B$152-G157,365)/365)</f>
        <v>178.37338415385599</v>
      </c>
      <c r="G157" s="180">
        <v>44727</v>
      </c>
      <c r="H157" s="181" t="s">
        <v>500</v>
      </c>
    </row>
    <row r="158" spans="1:9" ht="12.75" customHeight="1" x14ac:dyDescent="0.2">
      <c r="A158" s="694" t="s">
        <v>502</v>
      </c>
      <c r="B158" s="694"/>
      <c r="C158" s="704">
        <v>238.5</v>
      </c>
      <c r="D158" s="704"/>
      <c r="E158" s="179" t="s">
        <v>7</v>
      </c>
      <c r="F158" s="186">
        <f t="shared" ca="1" si="1"/>
        <v>259.40275683350399</v>
      </c>
      <c r="G158" s="180">
        <v>44727</v>
      </c>
      <c r="H158" s="181" t="s">
        <v>500</v>
      </c>
    </row>
    <row r="159" spans="1:9" ht="12.75" customHeight="1" x14ac:dyDescent="0.2">
      <c r="A159" s="694" t="s">
        <v>503</v>
      </c>
      <c r="B159" s="694"/>
      <c r="C159" s="704">
        <v>38</v>
      </c>
      <c r="D159" s="704"/>
      <c r="E159" s="179" t="s">
        <v>7</v>
      </c>
      <c r="F159" s="186">
        <f t="shared" ca="1" si="1"/>
        <v>41.330418279551999</v>
      </c>
      <c r="G159" s="180">
        <v>44727</v>
      </c>
      <c r="H159" s="181" t="s">
        <v>500</v>
      </c>
    </row>
    <row r="160" spans="1:9" ht="12.75" customHeight="1" x14ac:dyDescent="0.2">
      <c r="A160" s="694" t="s">
        <v>504</v>
      </c>
      <c r="B160" s="694"/>
      <c r="C160" s="704">
        <v>51.75</v>
      </c>
      <c r="D160" s="704"/>
      <c r="E160" s="179" t="s">
        <v>7</v>
      </c>
      <c r="F160" s="186">
        <f t="shared" ca="1" si="1"/>
        <v>56.285503841232</v>
      </c>
      <c r="G160" s="180">
        <v>44727</v>
      </c>
      <c r="H160" s="181" t="s">
        <v>500</v>
      </c>
    </row>
    <row r="161" spans="1:8" ht="12.75" customHeight="1" x14ac:dyDescent="0.2">
      <c r="A161" s="694" t="s">
        <v>505</v>
      </c>
      <c r="B161" s="694"/>
      <c r="C161" s="704">
        <v>691.5</v>
      </c>
      <c r="D161" s="704"/>
      <c r="E161" s="179" t="s">
        <v>7</v>
      </c>
      <c r="F161" s="186">
        <f t="shared" ca="1" si="1"/>
        <v>752.10484842921596</v>
      </c>
      <c r="G161" s="180">
        <v>44727</v>
      </c>
      <c r="H161" s="181" t="s">
        <v>500</v>
      </c>
    </row>
    <row r="162" spans="1:8" ht="12.75" customHeight="1" x14ac:dyDescent="0.2">
      <c r="A162" s="694" t="s">
        <v>506</v>
      </c>
      <c r="B162" s="694"/>
      <c r="C162" s="704">
        <v>82.5</v>
      </c>
      <c r="D162" s="704"/>
      <c r="E162" s="179" t="s">
        <v>7</v>
      </c>
      <c r="F162" s="186">
        <f t="shared" ca="1" si="1"/>
        <v>89.730513370080004</v>
      </c>
      <c r="G162" s="180">
        <v>44727</v>
      </c>
      <c r="H162" s="181" t="s">
        <v>500</v>
      </c>
    </row>
    <row r="163" spans="1:8" ht="12.75" customHeight="1" x14ac:dyDescent="0.2">
      <c r="A163" s="694" t="s">
        <v>507</v>
      </c>
      <c r="B163" s="694"/>
      <c r="C163" s="704">
        <v>117.75</v>
      </c>
      <c r="D163" s="704"/>
      <c r="E163" s="179" t="s">
        <v>7</v>
      </c>
      <c r="F163" s="186">
        <f t="shared" ca="1" si="1"/>
        <v>128.069914537296</v>
      </c>
      <c r="G163" s="180">
        <v>44727</v>
      </c>
      <c r="H163" s="181" t="s">
        <v>500</v>
      </c>
    </row>
    <row r="164" spans="1:8" ht="12.75" customHeight="1" x14ac:dyDescent="0.2">
      <c r="A164" s="694" t="s">
        <v>508</v>
      </c>
      <c r="B164" s="694"/>
      <c r="C164" s="704">
        <v>288.24</v>
      </c>
      <c r="D164" s="704"/>
      <c r="E164" s="179" t="s">
        <v>7</v>
      </c>
      <c r="F164" s="186">
        <f t="shared" ca="1" si="1"/>
        <v>313.50209907626498</v>
      </c>
      <c r="G164" s="180">
        <v>44727</v>
      </c>
      <c r="H164" s="181" t="s">
        <v>500</v>
      </c>
    </row>
    <row r="165" spans="1:8" ht="12.75" customHeight="1" x14ac:dyDescent="0.2">
      <c r="A165" s="694" t="s">
        <v>509</v>
      </c>
      <c r="B165" s="694"/>
      <c r="C165" s="704">
        <v>494.12</v>
      </c>
      <c r="D165" s="704"/>
      <c r="E165" s="179" t="s">
        <v>7</v>
      </c>
      <c r="F165" s="186">
        <f t="shared" ca="1" si="1"/>
        <v>537.42595474453253</v>
      </c>
      <c r="G165" s="180">
        <v>44727</v>
      </c>
      <c r="H165" s="181" t="s">
        <v>500</v>
      </c>
    </row>
    <row r="166" spans="1:8" ht="12.75" customHeight="1" x14ac:dyDescent="0.2">
      <c r="A166" s="694" t="s">
        <v>4</v>
      </c>
      <c r="B166" s="694"/>
      <c r="C166" s="704">
        <v>14.5</v>
      </c>
      <c r="D166" s="704"/>
      <c r="E166" s="179" t="s">
        <v>7</v>
      </c>
      <c r="F166" s="186">
        <f t="shared" ca="1" si="1"/>
        <v>15.770817501408001</v>
      </c>
      <c r="G166" s="180">
        <v>44727</v>
      </c>
      <c r="H166" s="181" t="s">
        <v>500</v>
      </c>
    </row>
    <row r="167" spans="1:8" ht="12.75" customHeight="1" x14ac:dyDescent="0.2">
      <c r="A167" s="694" t="s">
        <v>510</v>
      </c>
      <c r="B167" s="694"/>
      <c r="C167" s="704">
        <v>29</v>
      </c>
      <c r="D167" s="704"/>
      <c r="E167" s="179" t="s">
        <v>7</v>
      </c>
      <c r="F167" s="186">
        <f t="shared" ca="1" si="1"/>
        <v>31.541635002816001</v>
      </c>
      <c r="G167" s="180">
        <v>44727</v>
      </c>
      <c r="H167" s="181" t="s">
        <v>500</v>
      </c>
    </row>
    <row r="168" spans="1:8" ht="12.75" customHeight="1" x14ac:dyDescent="0.2">
      <c r="A168" s="694" t="s">
        <v>511</v>
      </c>
      <c r="B168" s="694"/>
      <c r="C168" s="704">
        <v>10</v>
      </c>
      <c r="D168" s="704"/>
      <c r="E168" s="179" t="s">
        <v>7</v>
      </c>
      <c r="F168" s="186">
        <f t="shared" ca="1" si="1"/>
        <v>10.87642586304</v>
      </c>
      <c r="G168" s="180">
        <v>44727</v>
      </c>
      <c r="H168" s="181" t="s">
        <v>500</v>
      </c>
    </row>
    <row r="169" spans="1:8" ht="12.75" customHeight="1" x14ac:dyDescent="0.2">
      <c r="A169" s="694" t="s">
        <v>512</v>
      </c>
      <c r="B169" s="694"/>
      <c r="C169" s="704">
        <v>168.5</v>
      </c>
      <c r="D169" s="704"/>
      <c r="E169" s="179" t="s">
        <v>7</v>
      </c>
      <c r="F169" s="186">
        <f t="shared" ca="1" si="1"/>
        <v>183.267775792224</v>
      </c>
      <c r="G169" s="180">
        <v>44727</v>
      </c>
      <c r="H169" s="181" t="s">
        <v>500</v>
      </c>
    </row>
    <row r="170" spans="1:8" ht="12.75" customHeight="1" x14ac:dyDescent="0.2">
      <c r="A170" s="694" t="s">
        <v>513</v>
      </c>
      <c r="B170" s="694"/>
      <c r="C170" s="704">
        <v>2.1</v>
      </c>
      <c r="D170" s="704"/>
      <c r="E170" s="179" t="s">
        <v>198</v>
      </c>
      <c r="F170" s="186">
        <f t="shared" ca="1" si="1"/>
        <v>2.2840494312384001</v>
      </c>
      <c r="G170" s="180">
        <v>44595</v>
      </c>
      <c r="H170" s="181" t="s">
        <v>514</v>
      </c>
    </row>
    <row r="171" spans="1:8" ht="12.75" customHeight="1" x14ac:dyDescent="0.2">
      <c r="A171" s="694" t="s">
        <v>515</v>
      </c>
      <c r="B171" s="694"/>
      <c r="C171" s="704">
        <v>5.9</v>
      </c>
      <c r="D171" s="704"/>
      <c r="E171" s="179" t="s">
        <v>438</v>
      </c>
      <c r="F171" s="186">
        <f t="shared" ca="1" si="1"/>
        <v>6.4170912591936009</v>
      </c>
      <c r="G171" s="180">
        <v>44727</v>
      </c>
      <c r="H171" s="181" t="s">
        <v>514</v>
      </c>
    </row>
    <row r="172" spans="1:8" ht="12.75" customHeight="1" x14ac:dyDescent="0.2">
      <c r="A172" s="694" t="s">
        <v>516</v>
      </c>
      <c r="B172" s="694"/>
      <c r="C172" s="704">
        <v>19</v>
      </c>
      <c r="D172" s="704"/>
      <c r="E172" s="179" t="s">
        <v>7</v>
      </c>
      <c r="F172" s="186">
        <f t="shared" ca="1" si="1"/>
        <v>20.665209139776</v>
      </c>
      <c r="G172" s="180">
        <v>44727</v>
      </c>
      <c r="H172" s="181" t="s">
        <v>500</v>
      </c>
    </row>
    <row r="173" spans="1:8" ht="12.75" customHeight="1" x14ac:dyDescent="0.2">
      <c r="A173" s="694" t="s">
        <v>441</v>
      </c>
      <c r="B173" s="694"/>
      <c r="C173" s="704">
        <v>35</v>
      </c>
      <c r="D173" s="704"/>
      <c r="E173" s="179" t="s">
        <v>7</v>
      </c>
      <c r="F173" s="186">
        <f t="shared" ca="1" si="1"/>
        <v>46.311486810711138</v>
      </c>
      <c r="G173" s="180">
        <v>42156</v>
      </c>
      <c r="H173" s="181" t="s">
        <v>514</v>
      </c>
    </row>
    <row r="174" spans="1:8" ht="12.75" customHeight="1" x14ac:dyDescent="0.2">
      <c r="A174" s="694" t="s">
        <v>517</v>
      </c>
      <c r="B174" s="694"/>
      <c r="C174" s="704">
        <v>0.31</v>
      </c>
      <c r="D174" s="704"/>
      <c r="E174" s="179" t="s">
        <v>198</v>
      </c>
      <c r="F174" s="186">
        <f t="shared" ca="1" si="1"/>
        <v>0.33716920175423998</v>
      </c>
      <c r="G174" s="180">
        <v>44727</v>
      </c>
      <c r="H174" s="181" t="s">
        <v>500</v>
      </c>
    </row>
    <row r="175" spans="1:8" ht="12.75" customHeight="1" x14ac:dyDescent="0.2">
      <c r="A175" s="694" t="s">
        <v>518</v>
      </c>
      <c r="B175" s="694"/>
      <c r="C175" s="704">
        <v>100</v>
      </c>
      <c r="D175" s="704"/>
      <c r="E175" s="179" t="s">
        <v>7</v>
      </c>
      <c r="F175" s="186">
        <f t="shared" ca="1" si="1"/>
        <v>132.31853374488895</v>
      </c>
      <c r="G175" s="180">
        <v>42156</v>
      </c>
      <c r="H175" s="181" t="s">
        <v>514</v>
      </c>
    </row>
    <row r="176" spans="1:8" ht="12.75" customHeight="1" x14ac:dyDescent="0.2">
      <c r="A176" s="694" t="s">
        <v>519</v>
      </c>
      <c r="B176" s="694"/>
      <c r="C176" s="704">
        <v>0.06</v>
      </c>
      <c r="D176" s="704"/>
      <c r="E176" s="179" t="s">
        <v>196</v>
      </c>
      <c r="F176" s="186">
        <f t="shared" ca="1" si="1"/>
        <v>7.9391120246933372E-2</v>
      </c>
      <c r="G176" s="180">
        <v>42156</v>
      </c>
      <c r="H176" s="181" t="s">
        <v>514</v>
      </c>
    </row>
    <row r="177" spans="1:9" ht="12.75" customHeight="1" x14ac:dyDescent="0.2">
      <c r="A177" s="694" t="s">
        <v>520</v>
      </c>
      <c r="B177" s="694"/>
      <c r="C177" s="704">
        <v>600</v>
      </c>
      <c r="D177" s="704"/>
      <c r="E177" s="179" t="s">
        <v>7</v>
      </c>
      <c r="F177" s="186">
        <f t="shared" ca="1" si="1"/>
        <v>793.91120246933372</v>
      </c>
      <c r="G177" s="180">
        <v>42156</v>
      </c>
      <c r="H177" s="181" t="s">
        <v>514</v>
      </c>
    </row>
    <row r="178" spans="1:9" ht="12.75" customHeight="1" x14ac:dyDescent="0.2">
      <c r="A178" s="694" t="s">
        <v>521</v>
      </c>
      <c r="B178" s="694"/>
      <c r="C178" s="704">
        <v>1500</v>
      </c>
      <c r="D178" s="704"/>
      <c r="E178" s="179" t="s">
        <v>7</v>
      </c>
      <c r="F178" s="186">
        <f t="shared" ca="1" si="1"/>
        <v>1984.7780061733342</v>
      </c>
      <c r="G178" s="180">
        <v>42156</v>
      </c>
      <c r="H178" s="181" t="s">
        <v>514</v>
      </c>
    </row>
    <row r="179" spans="1:9" ht="12.75" customHeight="1" x14ac:dyDescent="0.2">
      <c r="A179" s="694" t="s">
        <v>522</v>
      </c>
      <c r="B179" s="694"/>
      <c r="C179" s="704">
        <v>2.9</v>
      </c>
      <c r="D179" s="704"/>
      <c r="E179" s="179" t="s">
        <v>198</v>
      </c>
      <c r="F179" s="186">
        <f ca="1">C179*(1+$G$152)^(FLOOR($B$152-G179,365)/365)</f>
        <v>3.8372374786017796</v>
      </c>
      <c r="G179" s="180">
        <v>42156</v>
      </c>
      <c r="H179" s="181" t="s">
        <v>514</v>
      </c>
      <c r="I179" s="136"/>
    </row>
    <row r="180" spans="1:9" ht="12.75" customHeight="1" x14ac:dyDescent="0.2">
      <c r="A180" s="694" t="s">
        <v>523</v>
      </c>
      <c r="B180" s="694"/>
      <c r="C180" s="704">
        <v>1.1000000000000001</v>
      </c>
      <c r="D180" s="704"/>
      <c r="E180" s="179" t="s">
        <v>198</v>
      </c>
      <c r="F180" s="186">
        <f t="shared" ca="1" si="1"/>
        <v>1.4555038711937787</v>
      </c>
      <c r="G180" s="180">
        <v>42156</v>
      </c>
      <c r="H180" s="181" t="s">
        <v>514</v>
      </c>
      <c r="I180" s="136"/>
    </row>
    <row r="181" spans="1:9" ht="12.75" customHeight="1" x14ac:dyDescent="0.2">
      <c r="A181" s="694" t="s">
        <v>120</v>
      </c>
      <c r="B181" s="694"/>
      <c r="C181" s="704">
        <v>500</v>
      </c>
      <c r="D181" s="704"/>
      <c r="E181" s="134" t="s">
        <v>499</v>
      </c>
      <c r="F181" s="186">
        <f t="shared" ca="1" si="1"/>
        <v>661.59266872444482</v>
      </c>
      <c r="G181" s="180">
        <v>42156</v>
      </c>
      <c r="H181" s="181" t="s">
        <v>514</v>
      </c>
    </row>
    <row r="182" spans="1:9" ht="12.75" customHeight="1" x14ac:dyDescent="0.2">
      <c r="A182" s="694" t="s">
        <v>524</v>
      </c>
      <c r="B182" s="694"/>
      <c r="C182" s="704">
        <v>500</v>
      </c>
      <c r="D182" s="704"/>
      <c r="E182" s="134" t="s">
        <v>499</v>
      </c>
      <c r="F182" s="186">
        <f t="shared" ca="1" si="1"/>
        <v>661.59266872444482</v>
      </c>
      <c r="G182" s="180">
        <v>42156</v>
      </c>
      <c r="H182" s="181" t="s">
        <v>514</v>
      </c>
    </row>
    <row r="183" spans="1:9" ht="12.75" customHeight="1" x14ac:dyDescent="0.2">
      <c r="A183" s="694" t="s">
        <v>525</v>
      </c>
      <c r="B183" s="694"/>
      <c r="C183" s="704">
        <v>150</v>
      </c>
      <c r="D183" s="704"/>
      <c r="E183" s="134" t="s">
        <v>203</v>
      </c>
      <c r="F183" s="186">
        <f t="shared" ca="1" si="1"/>
        <v>198.47780061733343</v>
      </c>
      <c r="G183" s="180">
        <v>42156</v>
      </c>
      <c r="H183" s="181" t="s">
        <v>514</v>
      </c>
    </row>
    <row r="184" spans="1:9" ht="12.75" customHeight="1" x14ac:dyDescent="0.2">
      <c r="A184" s="694" t="s">
        <v>526</v>
      </c>
      <c r="B184" s="694"/>
      <c r="C184" s="704"/>
      <c r="D184" s="704"/>
      <c r="E184" s="134" t="s">
        <v>527</v>
      </c>
      <c r="F184" s="186">
        <f t="shared" ca="1" si="1"/>
        <v>0</v>
      </c>
      <c r="G184" s="180">
        <v>42156</v>
      </c>
      <c r="H184" s="181" t="s">
        <v>514</v>
      </c>
    </row>
    <row r="185" spans="1:9" ht="12.75" customHeight="1" x14ac:dyDescent="0.2">
      <c r="A185" s="694" t="s">
        <v>528</v>
      </c>
      <c r="B185" s="694"/>
      <c r="C185" s="704">
        <v>63.8</v>
      </c>
      <c r="D185" s="704"/>
      <c r="E185" s="134" t="s">
        <v>499</v>
      </c>
      <c r="F185" s="186">
        <f t="shared" ca="1" si="1"/>
        <v>69.391597006195198</v>
      </c>
      <c r="G185" s="180">
        <v>44727</v>
      </c>
      <c r="H185" s="181" t="s">
        <v>500</v>
      </c>
    </row>
    <row r="186" spans="1:9" ht="12.75" customHeight="1" x14ac:dyDescent="0.2">
      <c r="A186" s="694" t="s">
        <v>529</v>
      </c>
      <c r="B186" s="694"/>
      <c r="C186" s="704">
        <v>172.5</v>
      </c>
      <c r="D186" s="704"/>
      <c r="E186" s="134" t="s">
        <v>499</v>
      </c>
      <c r="F186" s="186">
        <f t="shared" ca="1" si="1"/>
        <v>187.61834613744</v>
      </c>
      <c r="G186" s="180">
        <v>44727</v>
      </c>
      <c r="H186" s="181" t="s">
        <v>500</v>
      </c>
    </row>
    <row r="187" spans="1:9" ht="12.75" customHeight="1" x14ac:dyDescent="0.2">
      <c r="A187" s="694" t="s">
        <v>461</v>
      </c>
      <c r="B187" s="694"/>
      <c r="C187" s="704">
        <v>90</v>
      </c>
      <c r="D187" s="704"/>
      <c r="E187" s="134" t="s">
        <v>7</v>
      </c>
      <c r="F187" s="186">
        <f t="shared" ca="1" si="1"/>
        <v>119.08668037040006</v>
      </c>
      <c r="G187" s="180">
        <v>42156</v>
      </c>
      <c r="H187" s="181" t="s">
        <v>514</v>
      </c>
    </row>
    <row r="188" spans="1:9" ht="12.75" customHeight="1" x14ac:dyDescent="0.2">
      <c r="A188" s="694" t="s">
        <v>530</v>
      </c>
      <c r="B188" s="694"/>
      <c r="C188" s="704">
        <v>5</v>
      </c>
      <c r="D188" s="704"/>
      <c r="E188" s="134" t="s">
        <v>499</v>
      </c>
      <c r="F188" s="186">
        <f t="shared" ca="1" si="1"/>
        <v>6.615926687244448</v>
      </c>
      <c r="G188" s="180">
        <v>42156</v>
      </c>
      <c r="H188" s="181" t="s">
        <v>514</v>
      </c>
    </row>
    <row r="189" spans="1:9" ht="12.75" customHeight="1" x14ac:dyDescent="0.2">
      <c r="A189" s="694" t="s">
        <v>464</v>
      </c>
      <c r="B189" s="694"/>
      <c r="C189" s="704">
        <v>50</v>
      </c>
      <c r="D189" s="704"/>
      <c r="E189" s="134" t="s">
        <v>499</v>
      </c>
      <c r="F189" s="186">
        <f t="shared" ca="1" si="1"/>
        <v>66.159266872444476</v>
      </c>
      <c r="G189" s="180">
        <v>42156</v>
      </c>
      <c r="H189" s="181" t="s">
        <v>514</v>
      </c>
    </row>
    <row r="190" spans="1:9" x14ac:dyDescent="0.2">
      <c r="A190" s="694" t="s">
        <v>531</v>
      </c>
      <c r="B190" s="694"/>
      <c r="C190" s="704">
        <v>1.53</v>
      </c>
      <c r="D190" s="704"/>
      <c r="E190" s="134" t="s">
        <v>196</v>
      </c>
      <c r="F190" s="186">
        <f t="shared" ca="1" si="1"/>
        <v>2.024473566296801</v>
      </c>
      <c r="G190" s="180">
        <v>42156</v>
      </c>
      <c r="H190" s="181" t="s">
        <v>514</v>
      </c>
    </row>
    <row r="191" spans="1:9" x14ac:dyDescent="0.2">
      <c r="H191" s="141"/>
    </row>
    <row r="192" spans="1:9" x14ac:dyDescent="0.2">
      <c r="H192" s="141"/>
    </row>
    <row r="193" spans="8:8" x14ac:dyDescent="0.2">
      <c r="H193" s="141"/>
    </row>
    <row r="194" spans="8:8" x14ac:dyDescent="0.2">
      <c r="H194" s="141"/>
    </row>
    <row r="195" spans="8:8" x14ac:dyDescent="0.2">
      <c r="H195" s="141"/>
    </row>
    <row r="196" spans="8:8" x14ac:dyDescent="0.2">
      <c r="H196" s="141"/>
    </row>
    <row r="197" spans="8:8" x14ac:dyDescent="0.2">
      <c r="H197" s="141"/>
    </row>
    <row r="198" spans="8:8" x14ac:dyDescent="0.2">
      <c r="H198" s="141"/>
    </row>
    <row r="199" spans="8:8" x14ac:dyDescent="0.2">
      <c r="H199" s="141"/>
    </row>
    <row r="200" spans="8:8" x14ac:dyDescent="0.2">
      <c r="H200" s="141"/>
    </row>
  </sheetData>
  <sheetProtection selectLockedCells="1"/>
  <mergeCells count="198">
    <mergeCell ref="A190:B190"/>
    <mergeCell ref="C190:D190"/>
    <mergeCell ref="E152:F152"/>
    <mergeCell ref="D127:F127"/>
    <mergeCell ref="D126:F126"/>
    <mergeCell ref="A187:B187"/>
    <mergeCell ref="C187:D187"/>
    <mergeCell ref="A188:B188"/>
    <mergeCell ref="C188:D188"/>
    <mergeCell ref="A189:B189"/>
    <mergeCell ref="C189:D189"/>
    <mergeCell ref="A184:B184"/>
    <mergeCell ref="C184:D184"/>
    <mergeCell ref="A185:B185"/>
    <mergeCell ref="C185:D185"/>
    <mergeCell ref="A186:B186"/>
    <mergeCell ref="C186:D186"/>
    <mergeCell ref="A181:B181"/>
    <mergeCell ref="C181:D181"/>
    <mergeCell ref="A182:B182"/>
    <mergeCell ref="C182:D182"/>
    <mergeCell ref="A183:B183"/>
    <mergeCell ref="C183:D183"/>
    <mergeCell ref="A178:B178"/>
    <mergeCell ref="C178:D178"/>
    <mergeCell ref="A179:B179"/>
    <mergeCell ref="C179:D179"/>
    <mergeCell ref="A180:B180"/>
    <mergeCell ref="C180:D180"/>
    <mergeCell ref="A175:B175"/>
    <mergeCell ref="C175:D175"/>
    <mergeCell ref="A176:B176"/>
    <mergeCell ref="C176:D176"/>
    <mergeCell ref="A177:B177"/>
    <mergeCell ref="C177:D177"/>
    <mergeCell ref="A172:B172"/>
    <mergeCell ref="C172:D172"/>
    <mergeCell ref="A173:B173"/>
    <mergeCell ref="C173:D173"/>
    <mergeCell ref="A174:B174"/>
    <mergeCell ref="C174:D174"/>
    <mergeCell ref="A169:B169"/>
    <mergeCell ref="C169:D169"/>
    <mergeCell ref="A170:B170"/>
    <mergeCell ref="C170:D170"/>
    <mergeCell ref="A171:B171"/>
    <mergeCell ref="C171:D171"/>
    <mergeCell ref="A166:B166"/>
    <mergeCell ref="C166:D166"/>
    <mergeCell ref="A167:B167"/>
    <mergeCell ref="C167:D167"/>
    <mergeCell ref="A168:B168"/>
    <mergeCell ref="C168:D168"/>
    <mergeCell ref="A163:B163"/>
    <mergeCell ref="C163:D163"/>
    <mergeCell ref="A164:B164"/>
    <mergeCell ref="C164:D164"/>
    <mergeCell ref="A165:B165"/>
    <mergeCell ref="C165:D165"/>
    <mergeCell ref="A160:B160"/>
    <mergeCell ref="C160:D160"/>
    <mergeCell ref="A161:B161"/>
    <mergeCell ref="C161:D161"/>
    <mergeCell ref="A162:B162"/>
    <mergeCell ref="C162:D162"/>
    <mergeCell ref="A157:B157"/>
    <mergeCell ref="C157:D157"/>
    <mergeCell ref="A158:B158"/>
    <mergeCell ref="C158:D158"/>
    <mergeCell ref="A159:B159"/>
    <mergeCell ref="C159:D159"/>
    <mergeCell ref="B152:C152"/>
    <mergeCell ref="C154:D154"/>
    <mergeCell ref="A154:B154"/>
    <mergeCell ref="C155:D155"/>
    <mergeCell ref="A155:B155"/>
    <mergeCell ref="A156:B156"/>
    <mergeCell ref="C156:D156"/>
    <mergeCell ref="B121:C121"/>
    <mergeCell ref="B125:C125"/>
    <mergeCell ref="B126:C126"/>
    <mergeCell ref="D129:E129"/>
    <mergeCell ref="B112:C112"/>
    <mergeCell ref="B113:C113"/>
    <mergeCell ref="B117:C117"/>
    <mergeCell ref="B118:C118"/>
    <mergeCell ref="B119:C119"/>
    <mergeCell ref="B120:C120"/>
    <mergeCell ref="B96:C96"/>
    <mergeCell ref="B103:C103"/>
    <mergeCell ref="B105:C105"/>
    <mergeCell ref="B109:C109"/>
    <mergeCell ref="B110:C110"/>
    <mergeCell ref="B111:C111"/>
    <mergeCell ref="B92:C92"/>
    <mergeCell ref="D92:E92"/>
    <mergeCell ref="B93:C93"/>
    <mergeCell ref="D93:E93"/>
    <mergeCell ref="B94:C94"/>
    <mergeCell ref="D94:E94"/>
    <mergeCell ref="B89:C89"/>
    <mergeCell ref="D89:E89"/>
    <mergeCell ref="B90:C90"/>
    <mergeCell ref="D90:E90"/>
    <mergeCell ref="B91:C91"/>
    <mergeCell ref="D91:E91"/>
    <mergeCell ref="B86:C86"/>
    <mergeCell ref="D86:E86"/>
    <mergeCell ref="B87:C87"/>
    <mergeCell ref="D87:E87"/>
    <mergeCell ref="B88:C88"/>
    <mergeCell ref="D88:E88"/>
    <mergeCell ref="B76:C76"/>
    <mergeCell ref="D76:E76"/>
    <mergeCell ref="F78:G78"/>
    <mergeCell ref="B83:C83"/>
    <mergeCell ref="B85:C85"/>
    <mergeCell ref="D85:E85"/>
    <mergeCell ref="B73:C73"/>
    <mergeCell ref="D73:E73"/>
    <mergeCell ref="B74:C74"/>
    <mergeCell ref="D74:E74"/>
    <mergeCell ref="B75:C75"/>
    <mergeCell ref="D75:E75"/>
    <mergeCell ref="B63:C63"/>
    <mergeCell ref="F65:G65"/>
    <mergeCell ref="B71:C71"/>
    <mergeCell ref="D71:E71"/>
    <mergeCell ref="B72:C72"/>
    <mergeCell ref="D72:E72"/>
    <mergeCell ref="B59:C59"/>
    <mergeCell ref="D59:E59"/>
    <mergeCell ref="B60:C60"/>
    <mergeCell ref="D60:E60"/>
    <mergeCell ref="B61:C61"/>
    <mergeCell ref="D61:E61"/>
    <mergeCell ref="B49:C49"/>
    <mergeCell ref="B55:D55"/>
    <mergeCell ref="B57:C57"/>
    <mergeCell ref="D57:E57"/>
    <mergeCell ref="B58:C58"/>
    <mergeCell ref="D58:E58"/>
    <mergeCell ref="B45:C45"/>
    <mergeCell ref="D45:E45"/>
    <mergeCell ref="B46:C46"/>
    <mergeCell ref="D46:E46"/>
    <mergeCell ref="B47:C47"/>
    <mergeCell ref="B48:C48"/>
    <mergeCell ref="B42:C42"/>
    <mergeCell ref="D42:E42"/>
    <mergeCell ref="B43:C43"/>
    <mergeCell ref="D43:E43"/>
    <mergeCell ref="B44:C44"/>
    <mergeCell ref="D44:E44"/>
    <mergeCell ref="B32:C32"/>
    <mergeCell ref="B33:C33"/>
    <mergeCell ref="B34:C34"/>
    <mergeCell ref="G38:H38"/>
    <mergeCell ref="B39:C39"/>
    <mergeCell ref="B41:C41"/>
    <mergeCell ref="D41:E41"/>
    <mergeCell ref="B29:C29"/>
    <mergeCell ref="D29:E29"/>
    <mergeCell ref="B30:C30"/>
    <mergeCell ref="D30:E30"/>
    <mergeCell ref="B31:C31"/>
    <mergeCell ref="D31:E31"/>
    <mergeCell ref="B24:C24"/>
    <mergeCell ref="B26:C26"/>
    <mergeCell ref="D26:E26"/>
    <mergeCell ref="B27:C27"/>
    <mergeCell ref="D27:E27"/>
    <mergeCell ref="B28:C28"/>
    <mergeCell ref="D28:E28"/>
    <mergeCell ref="B16:C16"/>
    <mergeCell ref="D16:E16"/>
    <mergeCell ref="B17:C17"/>
    <mergeCell ref="B18:C18"/>
    <mergeCell ref="B19:C19"/>
    <mergeCell ref="A2:B2"/>
    <mergeCell ref="C2:E2"/>
    <mergeCell ref="A3:B3"/>
    <mergeCell ref="C3:E3"/>
    <mergeCell ref="E4:F4"/>
    <mergeCell ref="B8:C8"/>
    <mergeCell ref="G23:H23"/>
    <mergeCell ref="B13:C13"/>
    <mergeCell ref="D13:E13"/>
    <mergeCell ref="B14:C14"/>
    <mergeCell ref="D14:E14"/>
    <mergeCell ref="B15:C15"/>
    <mergeCell ref="D15:E15"/>
    <mergeCell ref="G8:H8"/>
    <mergeCell ref="B9:C9"/>
    <mergeCell ref="B11:C11"/>
    <mergeCell ref="D11:E11"/>
    <mergeCell ref="B12:C12"/>
    <mergeCell ref="D12:E12"/>
  </mergeCells>
  <pageMargins left="0.59055118110236227" right="0.59055118110236227" top="0.39370078740157483" bottom="0.39370078740157483" header="0.51181102362204722" footer="0.51181102362204722"/>
  <pageSetup scale="99" fitToHeight="0" orientation="portrait" r:id="rId1"/>
  <headerFooter alignWithMargins="0"/>
  <rowBreaks count="2" manualBreakCount="2">
    <brk id="66" max="12" man="1"/>
    <brk id="131" max="16383" man="1"/>
  </rowBreaks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24402-CB92-4E90-8CFB-96EB0095414D}">
  <dimension ref="A1:X46"/>
  <sheetViews>
    <sheetView view="pageBreakPreview" topLeftCell="A7" zoomScale="85" zoomScaleNormal="100" zoomScaleSheetLayoutView="85" workbookViewId="0">
      <selection activeCell="B43" sqref="B43:V43"/>
    </sheetView>
  </sheetViews>
  <sheetFormatPr baseColWidth="10" defaultRowHeight="15" x14ac:dyDescent="0.25"/>
  <cols>
    <col min="1" max="44" width="3.85546875" customWidth="1"/>
  </cols>
  <sheetData>
    <row r="1" spans="1:23" ht="15.75" thickBot="1" x14ac:dyDescent="0.3">
      <c r="W1" s="5" t="s">
        <v>566</v>
      </c>
    </row>
    <row r="2" spans="1:23" x14ac:dyDescent="0.25">
      <c r="Q2" s="5" t="s">
        <v>565</v>
      </c>
      <c r="R2" s="714"/>
      <c r="S2" s="715"/>
      <c r="T2" s="715"/>
      <c r="U2" s="715"/>
      <c r="V2" s="716"/>
    </row>
    <row r="3" spans="1:23" ht="15.75" thickBot="1" x14ac:dyDescent="0.3">
      <c r="O3" s="5"/>
      <c r="R3" s="717"/>
      <c r="S3" s="718"/>
      <c r="T3" s="718"/>
      <c r="U3" s="718"/>
      <c r="V3" s="719"/>
    </row>
    <row r="4" spans="1:23" ht="15.75" thickBot="1" x14ac:dyDescent="0.3"/>
    <row r="5" spans="1:23" x14ac:dyDescent="0.25">
      <c r="C5" s="5" t="s">
        <v>564</v>
      </c>
      <c r="D5" s="714"/>
      <c r="E5" s="715"/>
      <c r="F5" s="715"/>
      <c r="G5" s="715"/>
      <c r="H5" s="715"/>
      <c r="I5" s="715"/>
      <c r="J5" s="715"/>
      <c r="K5" s="715"/>
      <c r="L5" s="715"/>
      <c r="M5" s="716"/>
      <c r="Q5" s="5" t="s">
        <v>563</v>
      </c>
      <c r="R5" s="714"/>
      <c r="S5" s="715"/>
      <c r="T5" s="715"/>
      <c r="U5" s="715"/>
      <c r="V5" s="716"/>
    </row>
    <row r="6" spans="1:23" ht="15.75" thickBot="1" x14ac:dyDescent="0.3">
      <c r="D6" s="717"/>
      <c r="E6" s="718"/>
      <c r="F6" s="718"/>
      <c r="G6" s="718"/>
      <c r="H6" s="718"/>
      <c r="I6" s="718"/>
      <c r="J6" s="718"/>
      <c r="K6" s="718"/>
      <c r="L6" s="718"/>
      <c r="M6" s="719"/>
      <c r="R6" s="717"/>
      <c r="S6" s="718"/>
      <c r="T6" s="718"/>
      <c r="U6" s="718"/>
      <c r="V6" s="719"/>
    </row>
    <row r="7" spans="1:23" ht="15.75" thickBot="1" x14ac:dyDescent="0.3"/>
    <row r="8" spans="1:23" ht="15.75" thickBot="1" x14ac:dyDescent="0.3">
      <c r="A8" s="425" t="s">
        <v>562</v>
      </c>
      <c r="B8" s="519"/>
      <c r="C8" s="519"/>
      <c r="D8" s="519"/>
      <c r="E8" s="519"/>
      <c r="F8" s="519"/>
      <c r="G8" s="519"/>
      <c r="H8" s="519"/>
      <c r="I8" s="519"/>
      <c r="J8" s="519"/>
      <c r="K8" s="519"/>
      <c r="L8" s="519"/>
      <c r="M8" s="519"/>
      <c r="N8" s="519"/>
      <c r="O8" s="519"/>
      <c r="P8" s="519"/>
      <c r="Q8" s="519"/>
      <c r="R8" s="519"/>
      <c r="S8" s="519"/>
      <c r="T8" s="519"/>
      <c r="U8" s="519"/>
      <c r="V8" s="519"/>
      <c r="W8" s="713"/>
    </row>
    <row r="9" spans="1:23" x14ac:dyDescent="0.25">
      <c r="A9" s="210"/>
      <c r="W9" s="208"/>
    </row>
    <row r="10" spans="1:23" x14ac:dyDescent="0.25">
      <c r="A10" s="209" t="s">
        <v>548</v>
      </c>
      <c r="B10" s="211" t="s">
        <v>561</v>
      </c>
      <c r="W10" s="208"/>
    </row>
    <row r="11" spans="1:23" x14ac:dyDescent="0.25">
      <c r="A11" s="209" t="s">
        <v>548</v>
      </c>
      <c r="B11" s="211" t="s">
        <v>560</v>
      </c>
      <c r="W11" s="208"/>
    </row>
    <row r="12" spans="1:23" x14ac:dyDescent="0.25">
      <c r="A12" s="209" t="s">
        <v>548</v>
      </c>
      <c r="B12" s="211" t="s">
        <v>559</v>
      </c>
      <c r="W12" s="208"/>
    </row>
    <row r="13" spans="1:23" x14ac:dyDescent="0.25">
      <c r="A13" s="210"/>
      <c r="B13" s="211" t="s">
        <v>554</v>
      </c>
      <c r="D13" s="710" t="s">
        <v>567</v>
      </c>
      <c r="E13" s="710"/>
      <c r="F13" s="710"/>
      <c r="G13" s="710"/>
      <c r="H13" s="710"/>
      <c r="I13" s="710"/>
      <c r="W13" s="208"/>
    </row>
    <row r="14" spans="1:23" x14ac:dyDescent="0.25">
      <c r="A14" s="210"/>
      <c r="B14" s="710"/>
      <c r="C14" s="710"/>
      <c r="D14" s="710"/>
      <c r="E14" s="710"/>
      <c r="F14" s="710"/>
      <c r="G14" s="710"/>
      <c r="H14" s="710"/>
      <c r="I14" s="710"/>
      <c r="J14" s="710"/>
      <c r="M14" s="710"/>
      <c r="N14" s="710"/>
      <c r="O14" s="710"/>
      <c r="P14" s="710"/>
      <c r="Q14" s="710"/>
      <c r="R14" s="710"/>
      <c r="S14" s="710"/>
      <c r="T14" s="710"/>
      <c r="U14" s="710"/>
      <c r="V14" s="710"/>
      <c r="W14" s="208"/>
    </row>
    <row r="15" spans="1:23" x14ac:dyDescent="0.25">
      <c r="A15" s="210"/>
      <c r="B15" t="s">
        <v>558</v>
      </c>
      <c r="M15" t="s">
        <v>557</v>
      </c>
      <c r="W15" s="208"/>
    </row>
    <row r="16" spans="1:23" ht="15.75" thickBot="1" x14ac:dyDescent="0.3">
      <c r="A16" s="21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1"/>
    </row>
    <row r="17" spans="1:24" ht="15.75" thickBot="1" x14ac:dyDescent="0.3">
      <c r="A17" s="425" t="s">
        <v>556</v>
      </c>
      <c r="B17" s="519"/>
      <c r="C17" s="519"/>
      <c r="D17" s="519"/>
      <c r="E17" s="519"/>
      <c r="F17" s="519"/>
      <c r="G17" s="519"/>
      <c r="H17" s="519"/>
      <c r="I17" s="519"/>
      <c r="J17" s="519"/>
      <c r="K17" s="519"/>
      <c r="L17" s="519"/>
      <c r="M17" s="519"/>
      <c r="N17" s="519"/>
      <c r="O17" s="519"/>
      <c r="P17" s="519"/>
      <c r="Q17" s="519"/>
      <c r="R17" s="519"/>
      <c r="S17" s="519"/>
      <c r="T17" s="519"/>
      <c r="U17" s="519"/>
      <c r="V17" s="519"/>
      <c r="W17" s="713"/>
    </row>
    <row r="18" spans="1:24" x14ac:dyDescent="0.25">
      <c r="A18" s="210"/>
      <c r="W18" s="208"/>
    </row>
    <row r="19" spans="1:24" x14ac:dyDescent="0.25">
      <c r="A19" s="209" t="s">
        <v>548</v>
      </c>
      <c r="B19" s="213" t="s">
        <v>555</v>
      </c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4"/>
      <c r="X19" s="213"/>
    </row>
    <row r="20" spans="1:24" x14ac:dyDescent="0.25">
      <c r="A20" s="210"/>
      <c r="B20" s="211" t="s">
        <v>554</v>
      </c>
      <c r="D20" s="710" t="s">
        <v>567</v>
      </c>
      <c r="E20" s="710"/>
      <c r="F20" s="710"/>
      <c r="G20" s="710"/>
      <c r="H20" s="710"/>
      <c r="I20" s="710"/>
      <c r="W20" s="208"/>
    </row>
    <row r="21" spans="1:24" x14ac:dyDescent="0.25">
      <c r="A21" s="210"/>
      <c r="B21" s="710"/>
      <c r="C21" s="710"/>
      <c r="D21" s="710"/>
      <c r="E21" s="710"/>
      <c r="F21" s="710"/>
      <c r="G21" s="710"/>
      <c r="H21" s="710"/>
      <c r="I21" s="710"/>
      <c r="J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208"/>
    </row>
    <row r="22" spans="1:24" x14ac:dyDescent="0.25">
      <c r="A22" s="210"/>
      <c r="B22" t="s">
        <v>553</v>
      </c>
      <c r="M22" t="s">
        <v>552</v>
      </c>
      <c r="W22" s="208"/>
    </row>
    <row r="23" spans="1:24" ht="15.75" thickBot="1" x14ac:dyDescent="0.3">
      <c r="A23" s="21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1"/>
    </row>
    <row r="24" spans="1:24" ht="15.75" thickBot="1" x14ac:dyDescent="0.3">
      <c r="A24" s="425" t="s">
        <v>551</v>
      </c>
      <c r="B24" s="519"/>
      <c r="C24" s="519"/>
      <c r="D24" s="519"/>
      <c r="E24" s="519"/>
      <c r="F24" s="519"/>
      <c r="G24" s="519"/>
      <c r="H24" s="519"/>
      <c r="I24" s="519"/>
      <c r="J24" s="519"/>
      <c r="K24" s="519"/>
      <c r="L24" s="519"/>
      <c r="M24" s="519"/>
      <c r="N24" s="519"/>
      <c r="O24" s="519"/>
      <c r="P24" s="519"/>
      <c r="Q24" s="519"/>
      <c r="R24" s="519"/>
      <c r="S24" s="519"/>
      <c r="T24" s="519"/>
      <c r="U24" s="519"/>
      <c r="V24" s="519"/>
      <c r="W24" s="713"/>
    </row>
    <row r="25" spans="1:24" x14ac:dyDescent="0.25">
      <c r="A25" s="210"/>
      <c r="W25" s="208"/>
    </row>
    <row r="26" spans="1:24" x14ac:dyDescent="0.25">
      <c r="A26" s="210"/>
      <c r="B26" t="s">
        <v>550</v>
      </c>
      <c r="G26" s="28"/>
      <c r="H26" s="710"/>
      <c r="I26" s="710"/>
      <c r="J26" s="710"/>
      <c r="K26" s="710"/>
      <c r="L26" s="710"/>
      <c r="M26" s="710"/>
      <c r="N26" s="710"/>
      <c r="O26" t="s">
        <v>542</v>
      </c>
      <c r="R26" s="710"/>
      <c r="S26" s="710"/>
      <c r="T26" s="710"/>
      <c r="U26" s="710"/>
      <c r="V26" s="710"/>
      <c r="W26" s="208"/>
    </row>
    <row r="27" spans="1:24" x14ac:dyDescent="0.25">
      <c r="A27" s="210"/>
      <c r="B27" s="28" t="s">
        <v>541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08"/>
    </row>
    <row r="28" spans="1:24" x14ac:dyDescent="0.25">
      <c r="A28" s="210"/>
      <c r="B28" s="712"/>
      <c r="C28" s="712"/>
      <c r="D28" s="712"/>
      <c r="E28" s="712"/>
      <c r="F28" s="712"/>
      <c r="G28" s="712"/>
      <c r="H28" s="712"/>
      <c r="I28" s="712"/>
      <c r="J28" s="712"/>
      <c r="K28" s="712"/>
      <c r="L28" s="712"/>
      <c r="M28" s="712"/>
      <c r="N28" s="712"/>
      <c r="O28" s="712"/>
      <c r="P28" s="712"/>
      <c r="Q28" s="712"/>
      <c r="R28" s="712"/>
      <c r="S28" s="712"/>
      <c r="T28" s="712"/>
      <c r="U28" s="712"/>
      <c r="V28" s="712"/>
      <c r="W28" s="208"/>
    </row>
    <row r="29" spans="1:24" x14ac:dyDescent="0.25">
      <c r="A29" s="210"/>
      <c r="B29" s="712"/>
      <c r="C29" s="712"/>
      <c r="D29" s="712"/>
      <c r="E29" s="712"/>
      <c r="F29" s="712"/>
      <c r="G29" s="712"/>
      <c r="H29" s="712"/>
      <c r="I29" s="712"/>
      <c r="J29" s="712"/>
      <c r="K29" s="712"/>
      <c r="L29" s="712"/>
      <c r="M29" s="712"/>
      <c r="N29" s="712"/>
      <c r="O29" s="712"/>
      <c r="P29" s="712"/>
      <c r="Q29" s="712"/>
      <c r="R29" s="712"/>
      <c r="S29" s="712"/>
      <c r="T29" s="712"/>
      <c r="U29" s="712"/>
      <c r="V29" s="712"/>
      <c r="W29" s="208"/>
    </row>
    <row r="30" spans="1:24" x14ac:dyDescent="0.25">
      <c r="A30" s="210"/>
      <c r="B30" s="712"/>
      <c r="C30" s="712"/>
      <c r="D30" s="712"/>
      <c r="E30" s="712"/>
      <c r="F30" s="712"/>
      <c r="G30" s="712"/>
      <c r="H30" s="712"/>
      <c r="I30" s="712"/>
      <c r="J30" s="712"/>
      <c r="K30" s="712"/>
      <c r="L30" s="712"/>
      <c r="M30" s="712"/>
      <c r="N30" s="712"/>
      <c r="O30" s="712"/>
      <c r="P30" s="712"/>
      <c r="Q30" s="712"/>
      <c r="R30" s="712"/>
      <c r="S30" s="712"/>
      <c r="T30" s="712"/>
      <c r="U30" s="712"/>
      <c r="V30" s="712"/>
      <c r="W30" s="208"/>
    </row>
    <row r="31" spans="1:24" x14ac:dyDescent="0.25">
      <c r="A31" s="210"/>
      <c r="B31" s="712"/>
      <c r="C31" s="712"/>
      <c r="D31" s="712"/>
      <c r="E31" s="712"/>
      <c r="F31" s="712"/>
      <c r="G31" s="712"/>
      <c r="H31" s="712"/>
      <c r="I31" s="712"/>
      <c r="J31" s="712"/>
      <c r="K31" s="712"/>
      <c r="L31" s="712"/>
      <c r="M31" s="712"/>
      <c r="N31" s="712"/>
      <c r="O31" s="712"/>
      <c r="P31" s="712"/>
      <c r="Q31" s="712"/>
      <c r="R31" s="712"/>
      <c r="S31" s="712"/>
      <c r="T31" s="712"/>
      <c r="U31" s="712"/>
      <c r="V31" s="712"/>
      <c r="W31" s="208"/>
    </row>
    <row r="32" spans="1:24" x14ac:dyDescent="0.25">
      <c r="A32" s="210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2"/>
      <c r="P32" s="712"/>
      <c r="Q32" s="712"/>
      <c r="R32" s="712"/>
      <c r="S32" s="712"/>
      <c r="T32" s="712"/>
      <c r="U32" s="712"/>
      <c r="V32" s="712"/>
      <c r="W32" s="208"/>
    </row>
    <row r="33" spans="1:23" x14ac:dyDescent="0.25">
      <c r="A33" s="209" t="s">
        <v>548</v>
      </c>
      <c r="B33" s="211" t="s">
        <v>549</v>
      </c>
      <c r="W33" s="208"/>
    </row>
    <row r="34" spans="1:23" x14ac:dyDescent="0.25">
      <c r="A34" s="209" t="s">
        <v>548</v>
      </c>
      <c r="B34" s="211" t="s">
        <v>547</v>
      </c>
      <c r="W34" s="208"/>
    </row>
    <row r="35" spans="1:23" ht="15.75" thickBot="1" x14ac:dyDescent="0.3">
      <c r="A35" s="209"/>
      <c r="B35" s="211" t="s">
        <v>546</v>
      </c>
      <c r="U35" s="4"/>
      <c r="V35" s="4"/>
      <c r="W35" s="71"/>
    </row>
    <row r="36" spans="1:23" ht="15.75" thickBot="1" x14ac:dyDescent="0.3">
      <c r="A36" s="425" t="s">
        <v>545</v>
      </c>
      <c r="B36" s="519"/>
      <c r="C36" s="519"/>
      <c r="D36" s="519"/>
      <c r="E36" s="519"/>
      <c r="F36" s="519"/>
      <c r="G36" s="519"/>
      <c r="H36" s="519"/>
      <c r="I36" s="519"/>
      <c r="J36" s="519"/>
      <c r="K36" s="519"/>
      <c r="L36" s="519"/>
      <c r="M36" s="519"/>
      <c r="N36" s="519"/>
      <c r="O36" s="519"/>
      <c r="P36" s="519"/>
      <c r="Q36" s="519"/>
      <c r="R36" s="519"/>
      <c r="S36" s="519"/>
      <c r="T36" s="519"/>
      <c r="U36" s="519"/>
      <c r="V36" s="519"/>
      <c r="W36" s="713"/>
    </row>
    <row r="37" spans="1:23" x14ac:dyDescent="0.25">
      <c r="A37" s="210"/>
      <c r="W37" s="208"/>
    </row>
    <row r="38" spans="1:23" x14ac:dyDescent="0.25">
      <c r="A38" s="210"/>
      <c r="B38" t="s">
        <v>544</v>
      </c>
      <c r="G38" s="28"/>
      <c r="H38" s="710"/>
      <c r="I38" s="710"/>
      <c r="J38" s="710"/>
      <c r="K38" s="710"/>
      <c r="L38" s="710"/>
      <c r="M38" s="710"/>
      <c r="N38" s="710"/>
      <c r="W38" s="208"/>
    </row>
    <row r="39" spans="1:23" x14ac:dyDescent="0.25">
      <c r="A39" s="210"/>
      <c r="B39" t="s">
        <v>543</v>
      </c>
      <c r="G39" s="100"/>
      <c r="H39" s="712"/>
      <c r="I39" s="712"/>
      <c r="J39" s="712"/>
      <c r="K39" s="712"/>
      <c r="L39" s="712"/>
      <c r="M39" s="712"/>
      <c r="N39" s="712"/>
      <c r="O39" t="s">
        <v>542</v>
      </c>
      <c r="R39" s="710"/>
      <c r="S39" s="710"/>
      <c r="T39" s="710"/>
      <c r="U39" s="710"/>
      <c r="V39" s="710"/>
      <c r="W39" s="208"/>
    </row>
    <row r="40" spans="1:23" x14ac:dyDescent="0.25">
      <c r="A40" s="210"/>
      <c r="W40" s="208"/>
    </row>
    <row r="41" spans="1:23" x14ac:dyDescent="0.25">
      <c r="A41" s="210"/>
      <c r="B41" s="28" t="s">
        <v>541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710"/>
      <c r="N41" s="710"/>
      <c r="O41" s="710"/>
      <c r="P41" s="710"/>
      <c r="Q41" s="710"/>
      <c r="R41" s="710"/>
      <c r="S41" s="710"/>
      <c r="T41" s="710"/>
      <c r="U41" s="710"/>
      <c r="V41" s="710"/>
      <c r="W41" s="208"/>
    </row>
    <row r="42" spans="1:23" x14ac:dyDescent="0.25">
      <c r="A42" s="210"/>
      <c r="B42" s="712"/>
      <c r="C42" s="712"/>
      <c r="D42" s="712"/>
      <c r="E42" s="712"/>
      <c r="F42" s="712"/>
      <c r="G42" s="712"/>
      <c r="H42" s="712"/>
      <c r="I42" s="712"/>
      <c r="J42" s="712"/>
      <c r="K42" s="712"/>
      <c r="L42" s="712"/>
      <c r="M42" s="712"/>
      <c r="N42" s="712"/>
      <c r="O42" s="712"/>
      <c r="P42" s="712"/>
      <c r="Q42" s="712"/>
      <c r="R42" s="712"/>
      <c r="S42" s="712"/>
      <c r="T42" s="712"/>
      <c r="U42" s="712"/>
      <c r="V42" s="712"/>
      <c r="W42" s="208"/>
    </row>
    <row r="43" spans="1:23" x14ac:dyDescent="0.25">
      <c r="A43" s="210"/>
      <c r="B43" s="712"/>
      <c r="C43" s="712"/>
      <c r="D43" s="712"/>
      <c r="E43" s="712"/>
      <c r="F43" s="712"/>
      <c r="G43" s="712"/>
      <c r="H43" s="712"/>
      <c r="I43" s="712"/>
      <c r="J43" s="712"/>
      <c r="K43" s="712"/>
      <c r="L43" s="712"/>
      <c r="M43" s="712"/>
      <c r="N43" s="712"/>
      <c r="O43" s="712"/>
      <c r="P43" s="712"/>
      <c r="Q43" s="712"/>
      <c r="R43" s="712"/>
      <c r="S43" s="712"/>
      <c r="T43" s="712"/>
      <c r="U43" s="712"/>
      <c r="V43" s="712"/>
      <c r="W43" s="208"/>
    </row>
    <row r="44" spans="1:23" x14ac:dyDescent="0.25">
      <c r="A44" s="209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208"/>
    </row>
    <row r="45" spans="1:23" x14ac:dyDescent="0.25">
      <c r="A45" s="209"/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208"/>
    </row>
    <row r="46" spans="1:23" ht="15.75" thickBot="1" x14ac:dyDescent="0.3">
      <c r="A46" s="207"/>
      <c r="B46" s="711"/>
      <c r="C46" s="711"/>
      <c r="D46" s="711"/>
      <c r="E46" s="711"/>
      <c r="F46" s="711"/>
      <c r="G46" s="711"/>
      <c r="H46" s="711"/>
      <c r="I46" s="711"/>
      <c r="J46" s="711"/>
      <c r="K46" s="711"/>
      <c r="L46" s="711"/>
      <c r="M46" s="711"/>
      <c r="N46" s="711"/>
      <c r="O46" s="711"/>
      <c r="P46" s="711"/>
      <c r="Q46" s="711"/>
      <c r="R46" s="711"/>
      <c r="S46" s="711"/>
      <c r="T46" s="711"/>
      <c r="U46" s="711"/>
      <c r="V46" s="711"/>
      <c r="W46" s="71"/>
    </row>
  </sheetData>
  <sheetProtection algorithmName="SHA-512" hashValue="lph1jFZzHEq+RVI6C2XVc76HQgEl40Onn8tVvo+kAP8V3yTkoyh5ld4bdrlTBnySz/hfT7nAmDn8QI0LviGLIw==" saltValue="+Xl5/hj2oayMsxmwBnEzZw==" spinCount="100000" sheet="1" objects="1" scenarios="1" selectLockedCells="1"/>
  <mergeCells count="29">
    <mergeCell ref="D5:M6"/>
    <mergeCell ref="R5:V6"/>
    <mergeCell ref="R2:V3"/>
    <mergeCell ref="H26:N26"/>
    <mergeCell ref="R26:V26"/>
    <mergeCell ref="A8:W8"/>
    <mergeCell ref="A17:W17"/>
    <mergeCell ref="A24:W24"/>
    <mergeCell ref="M21:V21"/>
    <mergeCell ref="B21:J21"/>
    <mergeCell ref="D20:I20"/>
    <mergeCell ref="M14:V14"/>
    <mergeCell ref="D13:I13"/>
    <mergeCell ref="B14:J14"/>
    <mergeCell ref="B29:V29"/>
    <mergeCell ref="B28:V28"/>
    <mergeCell ref="R39:V39"/>
    <mergeCell ref="H39:N39"/>
    <mergeCell ref="H38:N38"/>
    <mergeCell ref="A36:W36"/>
    <mergeCell ref="B32:V32"/>
    <mergeCell ref="B31:V31"/>
    <mergeCell ref="B30:V30"/>
    <mergeCell ref="M41:V41"/>
    <mergeCell ref="B46:V46"/>
    <mergeCell ref="B45:V45"/>
    <mergeCell ref="B44:V44"/>
    <mergeCell ref="B43:V43"/>
    <mergeCell ref="B42:V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35299-7A19-4FE0-9151-2585C02EA505}">
  <sheetPr>
    <tabColor theme="6" tint="-0.249977111117893"/>
  </sheetPr>
  <dimension ref="A1:Y46"/>
  <sheetViews>
    <sheetView view="pageBreakPreview" zoomScale="85" zoomScaleSheetLayoutView="85" workbookViewId="0">
      <selection activeCell="L10" sqref="L10"/>
    </sheetView>
  </sheetViews>
  <sheetFormatPr baseColWidth="10" defaultColWidth="9.140625" defaultRowHeight="15" x14ac:dyDescent="0.25"/>
  <cols>
    <col min="1" max="1" width="4.28515625" bestFit="1" customWidth="1"/>
    <col min="2" max="2" width="13.140625" bestFit="1" customWidth="1"/>
    <col min="4" max="4" width="7.5703125" bestFit="1" customWidth="1"/>
    <col min="6" max="6" width="10" bestFit="1" customWidth="1"/>
    <col min="7" max="7" width="14" bestFit="1" customWidth="1"/>
    <col min="8" max="9" width="7.5703125" customWidth="1"/>
    <col min="10" max="10" width="5.85546875" bestFit="1" customWidth="1"/>
    <col min="11" max="11" width="1.28515625" customWidth="1"/>
    <col min="12" max="12" width="25.5703125" customWidth="1"/>
    <col min="15" max="19" width="8.7109375" customWidth="1"/>
    <col min="20" max="20" width="13.5703125" bestFit="1" customWidth="1"/>
    <col min="21" max="21" width="21" bestFit="1" customWidth="1"/>
    <col min="22" max="22" width="14" bestFit="1" customWidth="1"/>
    <col min="23" max="23" width="15.85546875" bestFit="1" customWidth="1"/>
  </cols>
  <sheetData>
    <row r="1" spans="1:25" x14ac:dyDescent="0.25">
      <c r="A1" s="720" t="s">
        <v>658</v>
      </c>
      <c r="B1" s="720"/>
      <c r="C1" s="720"/>
      <c r="D1" s="720"/>
      <c r="E1" s="720"/>
      <c r="O1" s="721" t="s">
        <v>639</v>
      </c>
      <c r="P1" s="721"/>
      <c r="Q1" s="721"/>
      <c r="R1" s="721"/>
      <c r="S1" s="721"/>
      <c r="T1" s="721"/>
      <c r="U1" s="12" t="s">
        <v>657</v>
      </c>
      <c r="V1" s="12" t="s">
        <v>656</v>
      </c>
      <c r="W1" s="12" t="s">
        <v>655</v>
      </c>
      <c r="X1" s="12" t="s">
        <v>654</v>
      </c>
    </row>
    <row r="2" spans="1:25" ht="45" x14ac:dyDescent="0.25">
      <c r="A2" s="221" t="s">
        <v>653</v>
      </c>
      <c r="B2" s="221" t="s">
        <v>652</v>
      </c>
      <c r="C2" s="221" t="s">
        <v>651</v>
      </c>
      <c r="D2" s="224" t="s">
        <v>650</v>
      </c>
      <c r="E2" s="221" t="s">
        <v>649</v>
      </c>
      <c r="F2" s="224" t="s">
        <v>648</v>
      </c>
      <c r="G2" s="224" t="s">
        <v>647</v>
      </c>
      <c r="H2" s="514" t="s">
        <v>646</v>
      </c>
      <c r="I2" s="443"/>
      <c r="J2" s="224" t="s">
        <v>645</v>
      </c>
      <c r="K2" s="262"/>
      <c r="L2" s="224" t="s">
        <v>644</v>
      </c>
      <c r="N2" s="261" t="s">
        <v>659</v>
      </c>
      <c r="O2" s="261" t="s">
        <v>643</v>
      </c>
      <c r="P2" s="261" t="s">
        <v>642</v>
      </c>
      <c r="Q2" s="261" t="s">
        <v>641</v>
      </c>
      <c r="R2" s="260" t="s">
        <v>640</v>
      </c>
      <c r="S2" s="259" t="s">
        <v>639</v>
      </c>
      <c r="T2" s="258" t="s">
        <v>638</v>
      </c>
      <c r="U2" s="258" t="s">
        <v>637</v>
      </c>
      <c r="V2" s="12"/>
      <c r="W2" s="12"/>
      <c r="X2" s="12"/>
    </row>
    <row r="3" spans="1:25" ht="17.25" customHeight="1" x14ac:dyDescent="0.25">
      <c r="A3" s="12" t="s">
        <v>636</v>
      </c>
      <c r="B3" s="257" t="s">
        <v>660</v>
      </c>
      <c r="C3" s="256">
        <f>48*8</f>
        <v>384</v>
      </c>
      <c r="D3" s="256">
        <f>1+1+11.5+2+3</f>
        <v>18.5</v>
      </c>
      <c r="E3" s="256">
        <v>2</v>
      </c>
      <c r="F3" s="256">
        <v>1</v>
      </c>
      <c r="G3" s="256">
        <v>0</v>
      </c>
      <c r="H3" s="256">
        <v>1</v>
      </c>
      <c r="I3" s="256">
        <v>0</v>
      </c>
      <c r="J3" s="256">
        <v>8</v>
      </c>
      <c r="K3" s="255"/>
      <c r="L3" s="254">
        <f>FLOOR(C3*E3*$U$25+F3*0.02*C3+G3*C3*$U$29+X3*$U$27+J3*$U$28,1)</f>
        <v>34</v>
      </c>
      <c r="N3" s="252">
        <f>C3*D3/12</f>
        <v>592</v>
      </c>
      <c r="O3" s="252">
        <f t="shared" ref="O3:O18" si="0">D3/E3</f>
        <v>9.25</v>
      </c>
      <c r="P3" s="252">
        <f t="shared" ref="P3:P18" si="1">CEILING(O3,6)</f>
        <v>12</v>
      </c>
      <c r="Q3" s="252">
        <f t="shared" ref="Q3:Q18" si="2">48/P3</f>
        <v>4</v>
      </c>
      <c r="R3" s="252">
        <f t="shared" ref="R3:R18" si="3">FLOOR(Q3,1)</f>
        <v>4</v>
      </c>
      <c r="S3" s="252">
        <f t="shared" ref="S3:S18" si="4">CEILING(C3/R3/8*E3,1)</f>
        <v>24</v>
      </c>
      <c r="T3" s="253">
        <f t="shared" ref="T3:T18" si="5">((48/R3)-(O3))/48</f>
        <v>5.7291666666666664E-2</v>
      </c>
      <c r="U3" s="252">
        <f>FLOOR(F3*C3/32/24*10,1)</f>
        <v>5</v>
      </c>
      <c r="V3" s="252">
        <f t="shared" ref="V3:V18" si="6">G3*C3</f>
        <v>0</v>
      </c>
      <c r="W3" s="252"/>
      <c r="X3" s="252">
        <f t="shared" ref="X3:X18" si="7">(C3/8*D3/12*H3+I3*C3)/10</f>
        <v>7.4</v>
      </c>
      <c r="Y3">
        <f t="shared" ref="Y3:Y18" si="8">D3*C3/12+F3*8/12*C3</f>
        <v>848</v>
      </c>
    </row>
    <row r="4" spans="1:25" ht="17.25" customHeight="1" x14ac:dyDescent="0.25">
      <c r="A4" s="12" t="s">
        <v>635</v>
      </c>
      <c r="B4" s="257"/>
      <c r="C4" s="256">
        <f>14*8</f>
        <v>112</v>
      </c>
      <c r="D4" s="256">
        <f>2+1+1+0.5</f>
        <v>4.5</v>
      </c>
      <c r="E4" s="256">
        <v>1</v>
      </c>
      <c r="F4" s="256">
        <v>0</v>
      </c>
      <c r="G4" s="256">
        <v>0</v>
      </c>
      <c r="H4" s="256">
        <v>1</v>
      </c>
      <c r="I4" s="256">
        <v>0</v>
      </c>
      <c r="J4" s="256">
        <v>4</v>
      </c>
      <c r="K4" s="255"/>
      <c r="L4" s="254">
        <f t="shared" ref="L4:L15" si="9">FLOOR(C4*E4*$U$25+F4*0.02*C4+G4*C4*$U$29+X4*$U$27+J4*$U$28,1)</f>
        <v>4</v>
      </c>
      <c r="N4" s="252">
        <f t="shared" ref="N4:N18" si="10">C4*D4/12</f>
        <v>42</v>
      </c>
      <c r="O4" s="252">
        <f t="shared" si="0"/>
        <v>4.5</v>
      </c>
      <c r="P4" s="252">
        <f t="shared" si="1"/>
        <v>6</v>
      </c>
      <c r="Q4" s="252">
        <f t="shared" si="2"/>
        <v>8</v>
      </c>
      <c r="R4" s="252">
        <f t="shared" si="3"/>
        <v>8</v>
      </c>
      <c r="S4" s="252">
        <f t="shared" si="4"/>
        <v>2</v>
      </c>
      <c r="T4" s="253">
        <f t="shared" si="5"/>
        <v>3.125E-2</v>
      </c>
      <c r="U4" s="252">
        <f t="shared" ref="U4:U18" si="11">FLOOR(F4*C4/32/12*10,1)</f>
        <v>0</v>
      </c>
      <c r="V4" s="252">
        <f t="shared" si="6"/>
        <v>0</v>
      </c>
      <c r="W4" s="252"/>
      <c r="X4" s="252">
        <f t="shared" si="7"/>
        <v>0.52500000000000002</v>
      </c>
      <c r="Y4">
        <f t="shared" si="8"/>
        <v>42</v>
      </c>
    </row>
    <row r="5" spans="1:25" ht="17.25" customHeight="1" x14ac:dyDescent="0.25">
      <c r="A5" s="12" t="s">
        <v>634</v>
      </c>
      <c r="B5" s="257"/>
      <c r="C5" s="256">
        <v>72</v>
      </c>
      <c r="D5" s="256">
        <v>6.5</v>
      </c>
      <c r="E5" s="256">
        <v>1</v>
      </c>
      <c r="F5" s="256">
        <v>0</v>
      </c>
      <c r="G5" s="256">
        <v>0</v>
      </c>
      <c r="H5" s="256">
        <v>1</v>
      </c>
      <c r="I5" s="256">
        <v>0</v>
      </c>
      <c r="J5" s="256">
        <v>4</v>
      </c>
      <c r="K5" s="255"/>
      <c r="L5" s="254">
        <f t="shared" si="9"/>
        <v>3</v>
      </c>
      <c r="N5" s="252">
        <f t="shared" si="10"/>
        <v>39</v>
      </c>
      <c r="O5" s="252">
        <f t="shared" si="0"/>
        <v>6.5</v>
      </c>
      <c r="P5" s="252">
        <f t="shared" si="1"/>
        <v>12</v>
      </c>
      <c r="Q5" s="252">
        <f t="shared" si="2"/>
        <v>4</v>
      </c>
      <c r="R5" s="252">
        <f t="shared" si="3"/>
        <v>4</v>
      </c>
      <c r="S5" s="252">
        <f t="shared" si="4"/>
        <v>3</v>
      </c>
      <c r="T5" s="253">
        <f t="shared" si="5"/>
        <v>0.11458333333333333</v>
      </c>
      <c r="U5" s="252">
        <f t="shared" si="11"/>
        <v>0</v>
      </c>
      <c r="V5" s="252">
        <f t="shared" si="6"/>
        <v>0</v>
      </c>
      <c r="W5" s="252"/>
      <c r="X5" s="252">
        <f t="shared" si="7"/>
        <v>0.48749999999999999</v>
      </c>
      <c r="Y5">
        <f t="shared" si="8"/>
        <v>39</v>
      </c>
    </row>
    <row r="6" spans="1:25" ht="17.25" customHeight="1" x14ac:dyDescent="0.25">
      <c r="A6" s="12" t="s">
        <v>633</v>
      </c>
      <c r="B6" s="257"/>
      <c r="C6" s="256">
        <f>14*8</f>
        <v>112</v>
      </c>
      <c r="D6" s="256">
        <v>4</v>
      </c>
      <c r="E6" s="256">
        <v>1</v>
      </c>
      <c r="F6" s="256">
        <v>0</v>
      </c>
      <c r="G6" s="256">
        <v>0</v>
      </c>
      <c r="H6" s="256">
        <v>1</v>
      </c>
      <c r="I6" s="256">
        <v>0</v>
      </c>
      <c r="J6" s="256">
        <v>4</v>
      </c>
      <c r="K6" s="255"/>
      <c r="L6" s="254">
        <f t="shared" si="9"/>
        <v>4</v>
      </c>
      <c r="N6" s="252">
        <f t="shared" si="10"/>
        <v>37.333333333333336</v>
      </c>
      <c r="O6" s="252">
        <f t="shared" si="0"/>
        <v>4</v>
      </c>
      <c r="P6" s="252">
        <f t="shared" si="1"/>
        <v>6</v>
      </c>
      <c r="Q6" s="252">
        <f t="shared" si="2"/>
        <v>8</v>
      </c>
      <c r="R6" s="252">
        <f t="shared" si="3"/>
        <v>8</v>
      </c>
      <c r="S6" s="252">
        <f t="shared" si="4"/>
        <v>2</v>
      </c>
      <c r="T6" s="253">
        <f t="shared" si="5"/>
        <v>4.1666666666666664E-2</v>
      </c>
      <c r="U6" s="252">
        <f t="shared" si="11"/>
        <v>0</v>
      </c>
      <c r="V6" s="252">
        <f t="shared" si="6"/>
        <v>0</v>
      </c>
      <c r="W6" s="252"/>
      <c r="X6" s="252">
        <f t="shared" si="7"/>
        <v>0.46666666666666667</v>
      </c>
      <c r="Y6">
        <f t="shared" si="8"/>
        <v>37.333333333333336</v>
      </c>
    </row>
    <row r="7" spans="1:25" ht="17.25" customHeight="1" x14ac:dyDescent="0.25">
      <c r="A7" s="12" t="s">
        <v>632</v>
      </c>
      <c r="B7" s="257"/>
      <c r="C7" s="256">
        <v>50</v>
      </c>
      <c r="D7" s="256">
        <v>8</v>
      </c>
      <c r="E7" s="256">
        <v>1</v>
      </c>
      <c r="F7" s="256">
        <v>0</v>
      </c>
      <c r="G7" s="256">
        <v>0</v>
      </c>
      <c r="H7" s="256">
        <v>1</v>
      </c>
      <c r="I7" s="256">
        <v>0</v>
      </c>
      <c r="J7" s="256">
        <v>4</v>
      </c>
      <c r="K7" s="255"/>
      <c r="L7" s="254">
        <f t="shared" si="9"/>
        <v>2</v>
      </c>
      <c r="N7" s="252">
        <f t="shared" si="10"/>
        <v>33.333333333333336</v>
      </c>
      <c r="O7" s="252">
        <f t="shared" si="0"/>
        <v>8</v>
      </c>
      <c r="P7" s="252">
        <f t="shared" si="1"/>
        <v>12</v>
      </c>
      <c r="Q7" s="252">
        <f t="shared" si="2"/>
        <v>4</v>
      </c>
      <c r="R7" s="252">
        <f t="shared" si="3"/>
        <v>4</v>
      </c>
      <c r="S7" s="252">
        <f t="shared" si="4"/>
        <v>2</v>
      </c>
      <c r="T7" s="253">
        <f t="shared" si="5"/>
        <v>8.3333333333333329E-2</v>
      </c>
      <c r="U7" s="252">
        <f t="shared" si="11"/>
        <v>0</v>
      </c>
      <c r="V7" s="252">
        <f t="shared" si="6"/>
        <v>0</v>
      </c>
      <c r="W7" s="252"/>
      <c r="X7" s="252">
        <f t="shared" si="7"/>
        <v>0.41666666666666669</v>
      </c>
      <c r="Y7">
        <f t="shared" si="8"/>
        <v>33.333333333333336</v>
      </c>
    </row>
    <row r="8" spans="1:25" ht="17.25" customHeight="1" x14ac:dyDescent="0.25">
      <c r="A8" s="12" t="s">
        <v>631</v>
      </c>
      <c r="B8" s="257"/>
      <c r="C8" s="256">
        <v>128</v>
      </c>
      <c r="D8" s="256">
        <f>10.5+6.5+7+2</f>
        <v>26</v>
      </c>
      <c r="E8" s="256">
        <v>1</v>
      </c>
      <c r="F8" s="256">
        <v>1</v>
      </c>
      <c r="G8" s="256">
        <v>1</v>
      </c>
      <c r="H8" s="256">
        <v>1</v>
      </c>
      <c r="I8" s="256">
        <v>0</v>
      </c>
      <c r="J8" s="256">
        <v>4</v>
      </c>
      <c r="K8" s="255"/>
      <c r="L8" s="254">
        <f t="shared" si="9"/>
        <v>9</v>
      </c>
      <c r="N8" s="252">
        <f t="shared" si="10"/>
        <v>277.33333333333331</v>
      </c>
      <c r="O8" s="252">
        <f t="shared" si="0"/>
        <v>26</v>
      </c>
      <c r="P8" s="252">
        <f t="shared" si="1"/>
        <v>30</v>
      </c>
      <c r="Q8" s="252">
        <f t="shared" si="2"/>
        <v>1.6</v>
      </c>
      <c r="R8" s="252">
        <f t="shared" si="3"/>
        <v>1</v>
      </c>
      <c r="S8" s="252">
        <f t="shared" si="4"/>
        <v>16</v>
      </c>
      <c r="T8" s="253">
        <f t="shared" si="5"/>
        <v>0.45833333333333331</v>
      </c>
      <c r="U8" s="252">
        <f t="shared" si="11"/>
        <v>3</v>
      </c>
      <c r="V8" s="252">
        <f t="shared" si="6"/>
        <v>128</v>
      </c>
      <c r="W8" s="252"/>
      <c r="X8" s="252">
        <f t="shared" si="7"/>
        <v>3.4666666666666663</v>
      </c>
      <c r="Y8">
        <f t="shared" si="8"/>
        <v>362.66666666666663</v>
      </c>
    </row>
    <row r="9" spans="1:25" ht="17.25" customHeight="1" x14ac:dyDescent="0.25">
      <c r="A9" s="12" t="s">
        <v>630</v>
      </c>
      <c r="B9" s="257"/>
      <c r="C9" s="256">
        <v>152</v>
      </c>
      <c r="D9" s="256">
        <f>1+2+9+5+1.5</f>
        <v>18.5</v>
      </c>
      <c r="E9" s="256">
        <v>2</v>
      </c>
      <c r="F9" s="256">
        <v>0</v>
      </c>
      <c r="G9" s="256">
        <v>0</v>
      </c>
      <c r="H9" s="256">
        <v>1</v>
      </c>
      <c r="I9" s="256">
        <v>0</v>
      </c>
      <c r="J9" s="256">
        <v>4</v>
      </c>
      <c r="K9" s="255"/>
      <c r="L9" s="254">
        <f>FLOOR(C9*E9*$U$25+F9*0.02*C9+G9*C9*$U$29+X9*$U$27+J9*$U$28,1)</f>
        <v>11</v>
      </c>
      <c r="N9" s="252">
        <f t="shared" si="10"/>
        <v>234.33333333333334</v>
      </c>
      <c r="O9" s="252">
        <f t="shared" si="0"/>
        <v>9.25</v>
      </c>
      <c r="P9" s="252">
        <f t="shared" si="1"/>
        <v>12</v>
      </c>
      <c r="Q9" s="252">
        <f t="shared" si="2"/>
        <v>4</v>
      </c>
      <c r="R9" s="252">
        <f t="shared" si="3"/>
        <v>4</v>
      </c>
      <c r="S9" s="252">
        <f t="shared" si="4"/>
        <v>10</v>
      </c>
      <c r="T9" s="253">
        <f t="shared" si="5"/>
        <v>5.7291666666666664E-2</v>
      </c>
      <c r="U9" s="252">
        <f t="shared" si="11"/>
        <v>0</v>
      </c>
      <c r="V9" s="252">
        <f t="shared" si="6"/>
        <v>0</v>
      </c>
      <c r="W9" s="252"/>
      <c r="X9" s="252">
        <f t="shared" si="7"/>
        <v>2.9291666666666667</v>
      </c>
      <c r="Y9">
        <f t="shared" si="8"/>
        <v>234.33333333333334</v>
      </c>
    </row>
    <row r="10" spans="1:25" ht="17.25" customHeight="1" x14ac:dyDescent="0.25">
      <c r="A10" s="12" t="s">
        <v>629</v>
      </c>
      <c r="B10" s="257"/>
      <c r="C10" s="256">
        <v>16</v>
      </c>
      <c r="D10" s="256">
        <v>9</v>
      </c>
      <c r="E10" s="256">
        <v>1</v>
      </c>
      <c r="F10" s="256">
        <v>0</v>
      </c>
      <c r="G10" s="256">
        <v>0</v>
      </c>
      <c r="H10" s="256">
        <v>1</v>
      </c>
      <c r="I10" s="256">
        <v>0</v>
      </c>
      <c r="J10" s="256">
        <v>4</v>
      </c>
      <c r="K10" s="255"/>
      <c r="L10" s="254">
        <f t="shared" si="9"/>
        <v>1</v>
      </c>
      <c r="N10" s="252">
        <f t="shared" si="10"/>
        <v>12</v>
      </c>
      <c r="O10" s="252">
        <f t="shared" si="0"/>
        <v>9</v>
      </c>
      <c r="P10" s="252">
        <f t="shared" si="1"/>
        <v>12</v>
      </c>
      <c r="Q10" s="252">
        <f t="shared" si="2"/>
        <v>4</v>
      </c>
      <c r="R10" s="252">
        <f t="shared" si="3"/>
        <v>4</v>
      </c>
      <c r="S10" s="252">
        <f t="shared" si="4"/>
        <v>1</v>
      </c>
      <c r="T10" s="253">
        <f t="shared" si="5"/>
        <v>6.25E-2</v>
      </c>
      <c r="U10" s="252">
        <f t="shared" si="11"/>
        <v>0</v>
      </c>
      <c r="V10" s="252">
        <f t="shared" si="6"/>
        <v>0</v>
      </c>
      <c r="W10" s="252"/>
      <c r="X10" s="252">
        <f t="shared" si="7"/>
        <v>0.15</v>
      </c>
      <c r="Y10">
        <f t="shared" si="8"/>
        <v>12</v>
      </c>
    </row>
    <row r="11" spans="1:25" ht="17.25" customHeight="1" x14ac:dyDescent="0.25">
      <c r="A11" s="12" t="s">
        <v>628</v>
      </c>
      <c r="B11" s="257"/>
      <c r="C11" s="256">
        <v>32</v>
      </c>
      <c r="D11" s="256">
        <v>8</v>
      </c>
      <c r="E11" s="256">
        <v>1</v>
      </c>
      <c r="F11" s="256">
        <v>0</v>
      </c>
      <c r="G11" s="256">
        <v>0</v>
      </c>
      <c r="H11" s="256">
        <v>1</v>
      </c>
      <c r="I11" s="256">
        <v>0</v>
      </c>
      <c r="J11" s="256">
        <v>4</v>
      </c>
      <c r="K11" s="255"/>
      <c r="L11" s="254">
        <f t="shared" si="9"/>
        <v>2</v>
      </c>
      <c r="N11" s="252">
        <f t="shared" si="10"/>
        <v>21.333333333333332</v>
      </c>
      <c r="O11" s="252">
        <f t="shared" si="0"/>
        <v>8</v>
      </c>
      <c r="P11" s="252">
        <f t="shared" si="1"/>
        <v>12</v>
      </c>
      <c r="Q11" s="252">
        <f t="shared" si="2"/>
        <v>4</v>
      </c>
      <c r="R11" s="252">
        <f t="shared" si="3"/>
        <v>4</v>
      </c>
      <c r="S11" s="252">
        <f t="shared" si="4"/>
        <v>1</v>
      </c>
      <c r="T11" s="253">
        <f t="shared" si="5"/>
        <v>8.3333333333333329E-2</v>
      </c>
      <c r="U11" s="252">
        <f t="shared" si="11"/>
        <v>0</v>
      </c>
      <c r="V11" s="252">
        <f t="shared" si="6"/>
        <v>0</v>
      </c>
      <c r="W11" s="252"/>
      <c r="X11" s="252">
        <f t="shared" si="7"/>
        <v>0.26666666666666666</v>
      </c>
      <c r="Y11">
        <f t="shared" si="8"/>
        <v>21.333333333333332</v>
      </c>
    </row>
    <row r="12" spans="1:25" ht="17.25" customHeight="1" x14ac:dyDescent="0.25">
      <c r="A12" s="12" t="s">
        <v>627</v>
      </c>
      <c r="B12" s="257"/>
      <c r="C12" s="256">
        <v>24</v>
      </c>
      <c r="D12" s="256">
        <v>5</v>
      </c>
      <c r="E12" s="256">
        <v>1</v>
      </c>
      <c r="F12" s="256"/>
      <c r="G12" s="256">
        <v>0</v>
      </c>
      <c r="H12" s="256">
        <v>1</v>
      </c>
      <c r="I12" s="256"/>
      <c r="J12" s="256">
        <v>4</v>
      </c>
      <c r="K12" s="255"/>
      <c r="L12" s="254">
        <f t="shared" si="9"/>
        <v>2</v>
      </c>
      <c r="N12" s="252">
        <f t="shared" si="10"/>
        <v>10</v>
      </c>
      <c r="O12" s="252">
        <f t="shared" si="0"/>
        <v>5</v>
      </c>
      <c r="P12" s="252">
        <f t="shared" si="1"/>
        <v>6</v>
      </c>
      <c r="Q12" s="252">
        <f t="shared" si="2"/>
        <v>8</v>
      </c>
      <c r="R12" s="252">
        <f t="shared" si="3"/>
        <v>8</v>
      </c>
      <c r="S12" s="252">
        <f t="shared" si="4"/>
        <v>1</v>
      </c>
      <c r="T12" s="253">
        <f t="shared" si="5"/>
        <v>2.0833333333333332E-2</v>
      </c>
      <c r="U12" s="252">
        <f t="shared" si="11"/>
        <v>0</v>
      </c>
      <c r="V12" s="252">
        <f t="shared" si="6"/>
        <v>0</v>
      </c>
      <c r="W12" s="252"/>
      <c r="X12" s="252">
        <f t="shared" si="7"/>
        <v>0.125</v>
      </c>
      <c r="Y12">
        <f t="shared" si="8"/>
        <v>10</v>
      </c>
    </row>
    <row r="13" spans="1:25" ht="17.25" customHeight="1" x14ac:dyDescent="0.25">
      <c r="A13" s="12" t="s">
        <v>626</v>
      </c>
      <c r="B13" s="257"/>
      <c r="C13" s="256">
        <f>4*32/12</f>
        <v>10.666666666666666</v>
      </c>
      <c r="D13" s="256">
        <v>16</v>
      </c>
      <c r="E13" s="256">
        <v>1</v>
      </c>
      <c r="F13" s="256">
        <v>0</v>
      </c>
      <c r="G13" s="256">
        <v>0</v>
      </c>
      <c r="H13" s="256">
        <v>1</v>
      </c>
      <c r="I13" s="256"/>
      <c r="J13" s="256">
        <v>4</v>
      </c>
      <c r="K13" s="255"/>
      <c r="L13" s="254">
        <f t="shared" si="9"/>
        <v>1</v>
      </c>
      <c r="N13" s="252">
        <f t="shared" si="10"/>
        <v>14.222222222222221</v>
      </c>
      <c r="O13" s="252">
        <f t="shared" si="0"/>
        <v>16</v>
      </c>
      <c r="P13" s="252">
        <f t="shared" si="1"/>
        <v>18</v>
      </c>
      <c r="Q13" s="252">
        <f t="shared" si="2"/>
        <v>2.6666666666666665</v>
      </c>
      <c r="R13" s="252">
        <f t="shared" si="3"/>
        <v>2</v>
      </c>
      <c r="S13" s="252">
        <f t="shared" si="4"/>
        <v>1</v>
      </c>
      <c r="T13" s="253">
        <f t="shared" si="5"/>
        <v>0.16666666666666666</v>
      </c>
      <c r="U13" s="252">
        <f t="shared" si="11"/>
        <v>0</v>
      </c>
      <c r="V13" s="252">
        <f t="shared" si="6"/>
        <v>0</v>
      </c>
      <c r="W13" s="252"/>
      <c r="X13" s="252">
        <f t="shared" si="7"/>
        <v>0.17777777777777776</v>
      </c>
      <c r="Y13">
        <f t="shared" si="8"/>
        <v>14.222222222222221</v>
      </c>
    </row>
    <row r="14" spans="1:25" ht="17.25" customHeight="1" x14ac:dyDescent="0.25">
      <c r="A14" s="12" t="s">
        <v>625</v>
      </c>
      <c r="B14" s="257"/>
      <c r="C14" s="256">
        <f>4*8</f>
        <v>32</v>
      </c>
      <c r="D14" s="256">
        <v>8</v>
      </c>
      <c r="E14" s="256">
        <v>1</v>
      </c>
      <c r="F14" s="256">
        <v>0</v>
      </c>
      <c r="G14" s="256">
        <v>1</v>
      </c>
      <c r="H14" s="256">
        <v>1</v>
      </c>
      <c r="I14" s="256"/>
      <c r="J14" s="256">
        <v>4</v>
      </c>
      <c r="K14" s="255"/>
      <c r="L14" s="254">
        <f t="shared" si="9"/>
        <v>2</v>
      </c>
      <c r="N14" s="252">
        <f t="shared" si="10"/>
        <v>21.333333333333332</v>
      </c>
      <c r="O14" s="252">
        <f t="shared" si="0"/>
        <v>8</v>
      </c>
      <c r="P14" s="252">
        <f t="shared" si="1"/>
        <v>12</v>
      </c>
      <c r="Q14" s="252">
        <f t="shared" si="2"/>
        <v>4</v>
      </c>
      <c r="R14" s="252">
        <f t="shared" si="3"/>
        <v>4</v>
      </c>
      <c r="S14" s="252">
        <f t="shared" si="4"/>
        <v>1</v>
      </c>
      <c r="T14" s="253">
        <f t="shared" si="5"/>
        <v>8.3333333333333329E-2</v>
      </c>
      <c r="U14" s="252">
        <f t="shared" si="11"/>
        <v>0</v>
      </c>
      <c r="V14" s="252">
        <f t="shared" si="6"/>
        <v>32</v>
      </c>
      <c r="W14" s="252"/>
      <c r="X14" s="252">
        <f t="shared" si="7"/>
        <v>0.26666666666666666</v>
      </c>
      <c r="Y14">
        <f t="shared" si="8"/>
        <v>21.333333333333332</v>
      </c>
    </row>
    <row r="15" spans="1:25" ht="17.25" customHeight="1" x14ac:dyDescent="0.25">
      <c r="A15" s="12" t="s">
        <v>624</v>
      </c>
      <c r="B15" s="257"/>
      <c r="C15" s="256">
        <f>3*44/12</f>
        <v>11</v>
      </c>
      <c r="D15" s="256">
        <v>0.01</v>
      </c>
      <c r="E15" s="256">
        <v>1</v>
      </c>
      <c r="F15" s="256">
        <v>0</v>
      </c>
      <c r="G15" s="256">
        <v>1</v>
      </c>
      <c r="H15" s="256">
        <v>1</v>
      </c>
      <c r="I15" s="256"/>
      <c r="J15" s="256">
        <v>4</v>
      </c>
      <c r="K15" s="255"/>
      <c r="L15" s="254">
        <f t="shared" si="9"/>
        <v>1</v>
      </c>
      <c r="N15" s="252">
        <f t="shared" si="10"/>
        <v>9.1666666666666667E-3</v>
      </c>
      <c r="O15" s="252">
        <f t="shared" si="0"/>
        <v>0.01</v>
      </c>
      <c r="P15" s="252">
        <f t="shared" si="1"/>
        <v>6</v>
      </c>
      <c r="Q15" s="252">
        <f t="shared" si="2"/>
        <v>8</v>
      </c>
      <c r="R15" s="252">
        <f t="shared" si="3"/>
        <v>8</v>
      </c>
      <c r="S15" s="252">
        <f t="shared" si="4"/>
        <v>1</v>
      </c>
      <c r="T15" s="253">
        <f t="shared" si="5"/>
        <v>0.12479166666666668</v>
      </c>
      <c r="U15" s="252">
        <f t="shared" si="11"/>
        <v>0</v>
      </c>
      <c r="V15" s="252">
        <f t="shared" si="6"/>
        <v>11</v>
      </c>
      <c r="W15" s="252"/>
      <c r="X15" s="252">
        <f t="shared" si="7"/>
        <v>1.1458333333333333E-4</v>
      </c>
      <c r="Y15">
        <f t="shared" si="8"/>
        <v>9.1666666666666667E-3</v>
      </c>
    </row>
    <row r="16" spans="1:25" ht="17.25" customHeight="1" x14ac:dyDescent="0.25">
      <c r="A16" s="12" t="s">
        <v>623</v>
      </c>
      <c r="B16" s="257"/>
      <c r="C16" s="256">
        <f>13*8+8+6+4</f>
        <v>122</v>
      </c>
      <c r="D16" s="256">
        <v>0.01</v>
      </c>
      <c r="E16" s="256">
        <v>1</v>
      </c>
      <c r="F16" s="256">
        <v>1</v>
      </c>
      <c r="G16" s="256">
        <v>0</v>
      </c>
      <c r="H16" s="256">
        <v>1</v>
      </c>
      <c r="I16" s="256"/>
      <c r="J16" s="256">
        <v>4</v>
      </c>
      <c r="K16" s="255"/>
      <c r="L16" s="254">
        <f t="shared" ref="L16:L18" si="12">FLOOR(C16*E16*$U$23+F16*0.02*C16+G16*C16*$U$29+X16*$U$27+J16*$U$28,1)</f>
        <v>6</v>
      </c>
      <c r="N16" s="252">
        <f t="shared" si="10"/>
        <v>0.10166666666666667</v>
      </c>
      <c r="O16" s="252">
        <f t="shared" si="0"/>
        <v>0.01</v>
      </c>
      <c r="P16" s="252">
        <f t="shared" si="1"/>
        <v>6</v>
      </c>
      <c r="Q16" s="252">
        <f t="shared" si="2"/>
        <v>8</v>
      </c>
      <c r="R16" s="252">
        <f t="shared" si="3"/>
        <v>8</v>
      </c>
      <c r="S16" s="252">
        <f t="shared" si="4"/>
        <v>2</v>
      </c>
      <c r="T16" s="253">
        <f t="shared" si="5"/>
        <v>0.12479166666666668</v>
      </c>
      <c r="U16" s="252">
        <f t="shared" si="11"/>
        <v>3</v>
      </c>
      <c r="V16" s="252">
        <f t="shared" si="6"/>
        <v>0</v>
      </c>
      <c r="W16" s="252"/>
      <c r="X16" s="252">
        <f t="shared" si="7"/>
        <v>1.2708333333333335E-3</v>
      </c>
      <c r="Y16">
        <f t="shared" si="8"/>
        <v>81.435000000000002</v>
      </c>
    </row>
    <row r="17" spans="1:25" ht="17.25" customHeight="1" x14ac:dyDescent="0.25">
      <c r="A17" s="12" t="s">
        <v>622</v>
      </c>
      <c r="B17" s="257"/>
      <c r="C17" s="256">
        <f>7*8</f>
        <v>56</v>
      </c>
      <c r="D17" s="256">
        <v>0.01</v>
      </c>
      <c r="E17" s="256">
        <v>2</v>
      </c>
      <c r="F17" s="256">
        <v>1</v>
      </c>
      <c r="G17" s="256">
        <v>1</v>
      </c>
      <c r="H17" s="256">
        <v>1</v>
      </c>
      <c r="I17" s="256"/>
      <c r="J17" s="256">
        <v>4</v>
      </c>
      <c r="K17" s="255"/>
      <c r="L17" s="254">
        <f t="shared" si="12"/>
        <v>5</v>
      </c>
      <c r="N17" s="252">
        <f t="shared" si="10"/>
        <v>4.6666666666666669E-2</v>
      </c>
      <c r="O17" s="252">
        <f t="shared" si="0"/>
        <v>5.0000000000000001E-3</v>
      </c>
      <c r="P17" s="252">
        <f t="shared" si="1"/>
        <v>6</v>
      </c>
      <c r="Q17" s="252">
        <f t="shared" si="2"/>
        <v>8</v>
      </c>
      <c r="R17" s="252">
        <f t="shared" si="3"/>
        <v>8</v>
      </c>
      <c r="S17" s="252">
        <f t="shared" si="4"/>
        <v>2</v>
      </c>
      <c r="T17" s="253">
        <f t="shared" si="5"/>
        <v>0.12489583333333333</v>
      </c>
      <c r="U17" s="252">
        <f t="shared" si="11"/>
        <v>1</v>
      </c>
      <c r="V17" s="252">
        <f t="shared" si="6"/>
        <v>56</v>
      </c>
      <c r="W17" s="252"/>
      <c r="X17" s="252">
        <f t="shared" si="7"/>
        <v>5.8333333333333338E-4</v>
      </c>
      <c r="Y17">
        <f t="shared" si="8"/>
        <v>37.379999999999995</v>
      </c>
    </row>
    <row r="18" spans="1:25" ht="17.25" customHeight="1" x14ac:dyDescent="0.25">
      <c r="A18" s="12" t="s">
        <v>621</v>
      </c>
      <c r="B18" s="257"/>
      <c r="C18" s="256">
        <f>10*44/12</f>
        <v>36.666666666666664</v>
      </c>
      <c r="D18" s="256">
        <v>0.01</v>
      </c>
      <c r="E18" s="256">
        <v>2</v>
      </c>
      <c r="F18" s="256">
        <v>1</v>
      </c>
      <c r="G18" s="256">
        <v>1</v>
      </c>
      <c r="H18" s="256">
        <v>1</v>
      </c>
      <c r="I18" s="256"/>
      <c r="J18" s="256">
        <v>4</v>
      </c>
      <c r="K18" s="255"/>
      <c r="L18" s="254">
        <f t="shared" si="12"/>
        <v>3</v>
      </c>
      <c r="M18" s="23"/>
      <c r="N18" s="252">
        <f t="shared" si="10"/>
        <v>3.0555555555555555E-2</v>
      </c>
      <c r="O18" s="252">
        <f t="shared" si="0"/>
        <v>5.0000000000000001E-3</v>
      </c>
      <c r="P18" s="252">
        <f t="shared" si="1"/>
        <v>6</v>
      </c>
      <c r="Q18" s="252">
        <f t="shared" si="2"/>
        <v>8</v>
      </c>
      <c r="R18" s="252">
        <f t="shared" si="3"/>
        <v>8</v>
      </c>
      <c r="S18" s="252">
        <f t="shared" si="4"/>
        <v>2</v>
      </c>
      <c r="T18" s="253">
        <f t="shared" si="5"/>
        <v>0.12489583333333333</v>
      </c>
      <c r="U18" s="252">
        <f t="shared" si="11"/>
        <v>0</v>
      </c>
      <c r="V18" s="252">
        <f t="shared" si="6"/>
        <v>36.666666666666664</v>
      </c>
      <c r="W18" s="252"/>
      <c r="X18" s="252">
        <f t="shared" si="7"/>
        <v>3.8194444444444441E-4</v>
      </c>
      <c r="Y18">
        <f t="shared" si="8"/>
        <v>24.474999999999998</v>
      </c>
    </row>
    <row r="19" spans="1:25" ht="15.75" thickBot="1" x14ac:dyDescent="0.3">
      <c r="B19" s="246"/>
    </row>
    <row r="20" spans="1:25" ht="15.75" thickBot="1" x14ac:dyDescent="0.3">
      <c r="B20" s="722" t="s">
        <v>620</v>
      </c>
      <c r="C20" s="723"/>
      <c r="D20" s="724"/>
      <c r="E20" s="725" t="s">
        <v>619</v>
      </c>
      <c r="F20" s="725"/>
      <c r="G20" s="251" t="s">
        <v>618</v>
      </c>
      <c r="H20" s="725" t="s">
        <v>617</v>
      </c>
      <c r="I20" s="725"/>
      <c r="L20" s="250" t="s">
        <v>616</v>
      </c>
      <c r="N20">
        <f>SUM(N3:N18)</f>
        <v>1334.4102777777775</v>
      </c>
      <c r="O20" t="s">
        <v>5</v>
      </c>
      <c r="S20" s="249">
        <f>SUM(S3:S18)</f>
        <v>71</v>
      </c>
      <c r="T20" s="222"/>
      <c r="U20" s="249">
        <f>SUM(U3:U18)</f>
        <v>12</v>
      </c>
      <c r="V20" s="249">
        <f>SUM(V3:V18)</f>
        <v>263.66666666666669</v>
      </c>
      <c r="W20" s="222"/>
      <c r="X20" s="249">
        <f>CEILING(SUM(X3:X18),1)</f>
        <v>17</v>
      </c>
    </row>
    <row r="21" spans="1:25" x14ac:dyDescent="0.25">
      <c r="B21" s="726" t="s">
        <v>615</v>
      </c>
      <c r="C21" s="726"/>
      <c r="D21" s="726"/>
      <c r="E21" s="727">
        <f>S20</f>
        <v>71</v>
      </c>
      <c r="F21" s="727"/>
      <c r="G21" s="247">
        <v>45</v>
      </c>
      <c r="H21" s="728">
        <f t="shared" ref="H21:H26" si="13">G21*E21</f>
        <v>3195</v>
      </c>
      <c r="I21" s="728"/>
      <c r="L21" s="248" t="s">
        <v>614</v>
      </c>
      <c r="O21" t="s">
        <v>613</v>
      </c>
      <c r="S21" t="s">
        <v>612</v>
      </c>
      <c r="U21" t="s">
        <v>611</v>
      </c>
      <c r="W21" t="s">
        <v>610</v>
      </c>
      <c r="Y21" t="s">
        <v>609</v>
      </c>
    </row>
    <row r="22" spans="1:25" ht="15" customHeight="1" x14ac:dyDescent="0.25">
      <c r="B22" s="726" t="s">
        <v>608</v>
      </c>
      <c r="C22" s="726"/>
      <c r="D22" s="726"/>
      <c r="E22" s="727">
        <f>X20</f>
        <v>17</v>
      </c>
      <c r="F22" s="727"/>
      <c r="G22" s="247">
        <v>15</v>
      </c>
      <c r="H22" s="728">
        <f t="shared" si="13"/>
        <v>255</v>
      </c>
      <c r="I22" s="728"/>
      <c r="J22" s="246"/>
      <c r="K22" s="246"/>
      <c r="L22" s="729">
        <f>H26+H23+H22+H21</f>
        <v>4110</v>
      </c>
      <c r="O22">
        <v>25</v>
      </c>
      <c r="P22" t="s">
        <v>607</v>
      </c>
      <c r="S22" s="223">
        <v>19.2</v>
      </c>
      <c r="T22" t="s">
        <v>592</v>
      </c>
      <c r="U22" s="243">
        <f>S22/8/60</f>
        <v>0.04</v>
      </c>
      <c r="V22" t="s">
        <v>591</v>
      </c>
      <c r="W22" s="263">
        <f t="shared" ref="W22:W29" si="14">U22*60</f>
        <v>2.4</v>
      </c>
      <c r="X22">
        <f>U22*$C$4</f>
        <v>4.4800000000000004</v>
      </c>
      <c r="Y22" s="58">
        <f t="shared" ref="Y22:Y29" si="15">60/S22</f>
        <v>3.125</v>
      </c>
    </row>
    <row r="23" spans="1:25" ht="15.75" customHeight="1" x14ac:dyDescent="0.25">
      <c r="B23" s="726" t="s">
        <v>606</v>
      </c>
      <c r="C23" s="726"/>
      <c r="D23" s="726"/>
      <c r="E23" s="727">
        <f>U20</f>
        <v>12</v>
      </c>
      <c r="F23" s="727"/>
      <c r="G23" s="247">
        <v>55</v>
      </c>
      <c r="H23" s="728">
        <f t="shared" si="13"/>
        <v>660</v>
      </c>
      <c r="I23" s="728"/>
      <c r="J23" s="246"/>
      <c r="K23" s="246"/>
      <c r="L23" s="729"/>
      <c r="O23">
        <f>8*60/S23</f>
        <v>48</v>
      </c>
      <c r="P23" t="s">
        <v>605</v>
      </c>
      <c r="S23" s="223">
        <v>10</v>
      </c>
      <c r="T23" t="s">
        <v>592</v>
      </c>
      <c r="U23" s="244">
        <f>S23/8/60</f>
        <v>2.0833333333333332E-2</v>
      </c>
      <c r="V23" t="s">
        <v>591</v>
      </c>
      <c r="W23" s="263">
        <f t="shared" si="14"/>
        <v>1.25</v>
      </c>
      <c r="X23">
        <f>U23*$C$4</f>
        <v>2.333333333333333</v>
      </c>
      <c r="Y23" s="58">
        <f t="shared" si="15"/>
        <v>6</v>
      </c>
    </row>
    <row r="24" spans="1:25" x14ac:dyDescent="0.25">
      <c r="B24" s="726" t="s">
        <v>604</v>
      </c>
      <c r="C24" s="726"/>
      <c r="D24" s="726"/>
      <c r="E24" s="727">
        <f>SUM(L3:L18)</f>
        <v>90</v>
      </c>
      <c r="F24" s="727"/>
      <c r="G24" s="247">
        <v>84</v>
      </c>
      <c r="H24" s="730">
        <f t="shared" si="13"/>
        <v>7560</v>
      </c>
      <c r="I24" s="730"/>
      <c r="J24" s="246"/>
      <c r="K24" s="246"/>
      <c r="L24" s="248" t="s">
        <v>10</v>
      </c>
      <c r="O24">
        <v>50</v>
      </c>
      <c r="P24" t="s">
        <v>603</v>
      </c>
      <c r="S24" s="223">
        <v>10</v>
      </c>
      <c r="T24" t="s">
        <v>592</v>
      </c>
      <c r="U24" s="243">
        <f>S24/8/60</f>
        <v>2.0833333333333332E-2</v>
      </c>
      <c r="V24" t="s">
        <v>591</v>
      </c>
      <c r="W24" s="263">
        <f t="shared" si="14"/>
        <v>1.25</v>
      </c>
      <c r="X24">
        <f>U24*$C$4</f>
        <v>2.333333333333333</v>
      </c>
      <c r="Y24" s="58">
        <f t="shared" si="15"/>
        <v>6</v>
      </c>
    </row>
    <row r="25" spans="1:25" x14ac:dyDescent="0.25">
      <c r="B25" s="726" t="s">
        <v>602</v>
      </c>
      <c r="C25" s="726"/>
      <c r="D25" s="726"/>
      <c r="E25" s="727">
        <f>E21*U30</f>
        <v>44.966666666666661</v>
      </c>
      <c r="F25" s="727"/>
      <c r="G25" s="247">
        <v>84</v>
      </c>
      <c r="H25" s="730">
        <f t="shared" si="13"/>
        <v>3777.1999999999994</v>
      </c>
      <c r="I25" s="730"/>
      <c r="J25" s="246"/>
      <c r="K25" s="246"/>
      <c r="L25" s="731">
        <f>H25+H24</f>
        <v>11337.199999999999</v>
      </c>
      <c r="O25">
        <v>40</v>
      </c>
      <c r="P25" t="s">
        <v>601</v>
      </c>
      <c r="S25" s="223">
        <v>15</v>
      </c>
      <c r="T25" t="s">
        <v>592</v>
      </c>
      <c r="U25" s="243">
        <f>S25/8/60</f>
        <v>3.125E-2</v>
      </c>
      <c r="V25" t="s">
        <v>591</v>
      </c>
      <c r="W25" s="263">
        <f t="shared" si="14"/>
        <v>1.875</v>
      </c>
      <c r="X25">
        <f>U25*$C$4</f>
        <v>3.5</v>
      </c>
      <c r="Y25" s="58">
        <f t="shared" si="15"/>
        <v>4</v>
      </c>
    </row>
    <row r="26" spans="1:25" x14ac:dyDescent="0.25">
      <c r="B26" s="726" t="s">
        <v>600</v>
      </c>
      <c r="C26" s="726"/>
      <c r="D26" s="726"/>
      <c r="E26" s="727"/>
      <c r="F26" s="727"/>
      <c r="G26" s="247">
        <v>0</v>
      </c>
      <c r="H26" s="728">
        <f t="shared" si="13"/>
        <v>0</v>
      </c>
      <c r="I26" s="728"/>
      <c r="J26" s="246"/>
      <c r="K26" s="246"/>
      <c r="L26" s="731"/>
      <c r="O26">
        <v>55</v>
      </c>
      <c r="P26" t="s">
        <v>599</v>
      </c>
      <c r="S26" s="223">
        <v>9</v>
      </c>
      <c r="T26" t="s">
        <v>592</v>
      </c>
      <c r="U26" s="243">
        <f>S26/8/60</f>
        <v>1.8749999999999999E-2</v>
      </c>
      <c r="V26" t="s">
        <v>591</v>
      </c>
      <c r="W26" s="263">
        <f t="shared" si="14"/>
        <v>1.125</v>
      </c>
      <c r="X26">
        <f>U26*$C$4</f>
        <v>2.1</v>
      </c>
      <c r="Y26" s="58">
        <f t="shared" si="15"/>
        <v>6.666666666666667</v>
      </c>
    </row>
    <row r="27" spans="1:25" x14ac:dyDescent="0.25">
      <c r="M27">
        <v>1</v>
      </c>
      <c r="P27" t="s">
        <v>598</v>
      </c>
      <c r="S27" s="223">
        <v>5</v>
      </c>
      <c r="T27" t="s">
        <v>597</v>
      </c>
      <c r="U27" s="244">
        <f>S27/60</f>
        <v>8.3333333333333329E-2</v>
      </c>
      <c r="V27" t="s">
        <v>596</v>
      </c>
      <c r="W27" s="263">
        <f t="shared" si="14"/>
        <v>5</v>
      </c>
      <c r="X27">
        <f>U27*$X$4</f>
        <v>4.3749999999999997E-2</v>
      </c>
      <c r="Y27" s="58">
        <f t="shared" si="15"/>
        <v>12</v>
      </c>
    </row>
    <row r="28" spans="1:25" x14ac:dyDescent="0.25">
      <c r="C28">
        <f t="shared" ref="C28:C33" si="16">C3*D3/12</f>
        <v>592</v>
      </c>
      <c r="L28" s="245">
        <f>L25/SUM(C28:C32)</f>
        <v>15.245002241147464</v>
      </c>
      <c r="P28" t="s">
        <v>595</v>
      </c>
      <c r="S28" s="223">
        <v>20</v>
      </c>
      <c r="T28" t="s">
        <v>594</v>
      </c>
      <c r="U28" s="244">
        <f>S28/60</f>
        <v>0.33333333333333331</v>
      </c>
      <c r="V28" t="s">
        <v>591</v>
      </c>
      <c r="W28" s="263">
        <f t="shared" si="14"/>
        <v>20</v>
      </c>
      <c r="X28">
        <f>U28*$J$4</f>
        <v>1.3333333333333333</v>
      </c>
      <c r="Y28" s="58">
        <f t="shared" si="15"/>
        <v>3</v>
      </c>
    </row>
    <row r="29" spans="1:25" x14ac:dyDescent="0.25">
      <c r="C29">
        <f t="shared" si="16"/>
        <v>42</v>
      </c>
      <c r="P29" t="s">
        <v>593</v>
      </c>
      <c r="S29" s="223">
        <v>5</v>
      </c>
      <c r="T29" t="s">
        <v>592</v>
      </c>
      <c r="U29" s="244">
        <f>S29/8/60</f>
        <v>1.0416666666666666E-2</v>
      </c>
      <c r="V29" t="s">
        <v>591</v>
      </c>
      <c r="W29" s="263">
        <f t="shared" si="14"/>
        <v>0.625</v>
      </c>
      <c r="X29">
        <f>U29*$C$4</f>
        <v>1.1666666666666665</v>
      </c>
      <c r="Y29" s="58">
        <f t="shared" si="15"/>
        <v>12</v>
      </c>
    </row>
    <row r="30" spans="1:25" x14ac:dyDescent="0.25">
      <c r="C30">
        <f t="shared" si="16"/>
        <v>39</v>
      </c>
      <c r="P30" t="s">
        <v>590</v>
      </c>
      <c r="S30" s="223">
        <v>38</v>
      </c>
      <c r="T30" t="s">
        <v>589</v>
      </c>
      <c r="U30" s="243">
        <f>S30/60</f>
        <v>0.6333333333333333</v>
      </c>
      <c r="V30" t="s">
        <v>588</v>
      </c>
    </row>
    <row r="31" spans="1:25" x14ac:dyDescent="0.25">
      <c r="C31">
        <f t="shared" si="16"/>
        <v>37.333333333333336</v>
      </c>
    </row>
    <row r="32" spans="1:25" x14ac:dyDescent="0.25">
      <c r="C32">
        <f t="shared" si="16"/>
        <v>33.333333333333336</v>
      </c>
    </row>
    <row r="33" spans="2:22" x14ac:dyDescent="0.25">
      <c r="C33">
        <f t="shared" si="16"/>
        <v>277.33333333333331</v>
      </c>
    </row>
    <row r="34" spans="2:22" x14ac:dyDescent="0.25">
      <c r="T34">
        <f>204</f>
        <v>204</v>
      </c>
    </row>
    <row r="35" spans="2:22" ht="15.75" thickBot="1" x14ac:dyDescent="0.3">
      <c r="E35">
        <f>E24/E25</f>
        <v>2.0014825796886586</v>
      </c>
      <c r="M35" s="12" t="s">
        <v>587</v>
      </c>
      <c r="T35">
        <f>T34/12</f>
        <v>17</v>
      </c>
      <c r="U35">
        <v>156</v>
      </c>
      <c r="V35">
        <f>U35/12</f>
        <v>13</v>
      </c>
    </row>
    <row r="36" spans="2:22" ht="15.75" thickBot="1" x14ac:dyDescent="0.3">
      <c r="B36" s="240" t="s">
        <v>586</v>
      </c>
      <c r="C36" s="239"/>
      <c r="D36" s="242"/>
      <c r="E36" s="241"/>
      <c r="G36" s="240" t="s">
        <v>585</v>
      </c>
      <c r="H36" s="239"/>
      <c r="I36" s="238"/>
      <c r="M36" s="12">
        <f>SUM(J3:J18)</f>
        <v>68</v>
      </c>
      <c r="U36">
        <v>92</v>
      </c>
      <c r="V36">
        <f>U36/12</f>
        <v>7.666666666666667</v>
      </c>
    </row>
    <row r="37" spans="2:22" ht="15.75" thickBot="1" x14ac:dyDescent="0.3">
      <c r="B37" s="237">
        <f>SUM(Y3:Y18)</f>
        <v>1818.8547222222219</v>
      </c>
      <c r="C37" s="12" t="s">
        <v>584</v>
      </c>
      <c r="E37" s="236">
        <f>(G37/B37)-1</f>
        <v>0.46025956199238349</v>
      </c>
      <c r="G37" s="232">
        <f>(E21+E23)*32</f>
        <v>2656</v>
      </c>
      <c r="H37" s="12" t="s">
        <v>584</v>
      </c>
      <c r="I37" s="230"/>
      <c r="L37" s="91" t="s">
        <v>583</v>
      </c>
      <c r="M37" s="12">
        <f>M36/4</f>
        <v>17</v>
      </c>
    </row>
    <row r="38" spans="2:22" ht="15.75" thickBot="1" x14ac:dyDescent="0.3">
      <c r="B38" s="234" t="s">
        <v>582</v>
      </c>
      <c r="C38" t="s">
        <v>581</v>
      </c>
      <c r="D38" t="s">
        <v>580</v>
      </c>
      <c r="E38" s="208"/>
      <c r="G38" s="210"/>
      <c r="I38" s="208"/>
      <c r="L38" s="91" t="s">
        <v>579</v>
      </c>
      <c r="M38" s="12">
        <f>M36/60*20</f>
        <v>22.666666666666664</v>
      </c>
    </row>
    <row r="39" spans="2:22" x14ac:dyDescent="0.25">
      <c r="B39" s="233" t="s">
        <v>576</v>
      </c>
      <c r="C39" s="12">
        <f>C40*1.95</f>
        <v>2.145</v>
      </c>
      <c r="D39" s="12">
        <f>C39/60*84</f>
        <v>3.0029999999999997</v>
      </c>
      <c r="E39" s="230">
        <f>D39*$B$37</f>
        <v>5462.020730833332</v>
      </c>
      <c r="F39" s="228">
        <f>E39/84</f>
        <v>65.024056319444426</v>
      </c>
      <c r="G39" s="232">
        <f>D39*$G$37</f>
        <v>7975.9679999999989</v>
      </c>
      <c r="H39" s="231">
        <f>G39/84</f>
        <v>94.951999999999984</v>
      </c>
      <c r="I39" s="230">
        <f>(H39+F39)/2</f>
        <v>79.988028159722205</v>
      </c>
      <c r="L39" t="s">
        <v>578</v>
      </c>
      <c r="M39">
        <f>I39+M38</f>
        <v>102.65469482638886</v>
      </c>
    </row>
    <row r="40" spans="2:22" ht="15.75" thickBot="1" x14ac:dyDescent="0.3">
      <c r="B40" s="235" t="s">
        <v>574</v>
      </c>
      <c r="C40" s="12">
        <v>1.1000000000000001</v>
      </c>
      <c r="D40" s="12">
        <f>C40/60*84</f>
        <v>1.54</v>
      </c>
      <c r="E40" s="230">
        <f>D40*$B$37</f>
        <v>2801.0362722222217</v>
      </c>
      <c r="F40" s="228">
        <f>E40/84</f>
        <v>33.345669907407398</v>
      </c>
      <c r="G40" s="232">
        <f>D40*$G$37</f>
        <v>4090.2400000000002</v>
      </c>
      <c r="H40" s="231">
        <f>G40/84</f>
        <v>48.693333333333335</v>
      </c>
      <c r="I40" s="230">
        <f>(H40+F40)/2</f>
        <v>41.019501620370363</v>
      </c>
    </row>
    <row r="41" spans="2:22" ht="15.75" thickBot="1" x14ac:dyDescent="0.3">
      <c r="B41" s="234" t="s">
        <v>577</v>
      </c>
      <c r="E41" s="208"/>
      <c r="F41" s="33"/>
      <c r="G41" s="210"/>
      <c r="H41" s="33"/>
      <c r="I41" s="208"/>
    </row>
    <row r="42" spans="2:22" x14ac:dyDescent="0.25">
      <c r="B42" s="233" t="s">
        <v>576</v>
      </c>
      <c r="C42" s="12">
        <f>C43*1.85</f>
        <v>2.1274999999999999</v>
      </c>
      <c r="D42" s="12">
        <f>C42/60*84</f>
        <v>2.9784999999999999</v>
      </c>
      <c r="E42" s="230">
        <f>D42*$B$37</f>
        <v>5417.4587901388877</v>
      </c>
      <c r="F42" s="228">
        <f>E42/84</f>
        <v>64.493557025462948</v>
      </c>
      <c r="G42" s="232">
        <f>D42*$G$37</f>
        <v>7910.8959999999997</v>
      </c>
      <c r="H42" s="231">
        <f>G42/84</f>
        <v>94.177333333333337</v>
      </c>
      <c r="I42" s="230">
        <f>(H42+F42)/2</f>
        <v>79.335445179398135</v>
      </c>
      <c r="L42" t="s">
        <v>575</v>
      </c>
      <c r="M42">
        <f>I42+M38</f>
        <v>102.00211184606479</v>
      </c>
    </row>
    <row r="43" spans="2:22" ht="15.75" thickBot="1" x14ac:dyDescent="0.3">
      <c r="B43" s="227" t="s">
        <v>574</v>
      </c>
      <c r="C43" s="229">
        <v>1.1499999999999999</v>
      </c>
      <c r="D43" s="229">
        <f>C43/60*84</f>
        <v>1.6099999999999999</v>
      </c>
      <c r="E43" s="225">
        <f>D43*$B$37</f>
        <v>2928.3561027777769</v>
      </c>
      <c r="F43" s="228">
        <f>E43/84</f>
        <v>34.861382175925918</v>
      </c>
      <c r="G43" s="227">
        <f>D43*$G$37</f>
        <v>4276.16</v>
      </c>
      <c r="H43" s="226">
        <f>G43/84</f>
        <v>50.906666666666666</v>
      </c>
      <c r="I43" s="225">
        <f>(H43+F43)/2</f>
        <v>42.884024421296289</v>
      </c>
    </row>
    <row r="45" spans="2:22" ht="14.25" customHeight="1" x14ac:dyDescent="0.25"/>
    <row r="46" spans="2:22" ht="14.25" customHeight="1" x14ac:dyDescent="0.25">
      <c r="C46" t="s">
        <v>573</v>
      </c>
    </row>
  </sheetData>
  <mergeCells count="26">
    <mergeCell ref="B25:D25"/>
    <mergeCell ref="E25:F25"/>
    <mergeCell ref="H25:I25"/>
    <mergeCell ref="L25:L26"/>
    <mergeCell ref="B26:D26"/>
    <mergeCell ref="E26:F26"/>
    <mergeCell ref="H26:I26"/>
    <mergeCell ref="L22:L23"/>
    <mergeCell ref="B23:D23"/>
    <mergeCell ref="E23:F23"/>
    <mergeCell ref="H23:I23"/>
    <mergeCell ref="B24:D24"/>
    <mergeCell ref="E24:F24"/>
    <mergeCell ref="H24:I24"/>
    <mergeCell ref="B21:D21"/>
    <mergeCell ref="E21:F21"/>
    <mergeCell ref="H21:I21"/>
    <mergeCell ref="B22:D22"/>
    <mergeCell ref="E22:F22"/>
    <mergeCell ref="H22:I22"/>
    <mergeCell ref="A1:E1"/>
    <mergeCell ref="O1:T1"/>
    <mergeCell ref="H2:I2"/>
    <mergeCell ref="B20:D20"/>
    <mergeCell ref="E20:F20"/>
    <mergeCell ref="H20:I20"/>
  </mergeCells>
  <pageMargins left="0.7" right="0.7" top="0.75" bottom="0.75" header="0.3" footer="0.3"/>
  <pageSetup scale="88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b73ca6-e4d8-4bd2-a64a-ea11d526b97a">
      <Terms xmlns="http://schemas.microsoft.com/office/infopath/2007/PartnerControls"/>
    </lcf76f155ced4ddcb4097134ff3c332f>
    <TaxCatchAll xmlns="b7a789a4-5348-4864-9920-14d40a810ed9" xsi:nil="true"/>
    <SharedWithUsers xmlns="b7a789a4-5348-4864-9920-14d40a810ed9">
      <UserInfo>
        <DisplayName>Tyler West</DisplayName>
        <AccountId>54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139522035C6647B252FE4D919EB600" ma:contentTypeVersion="17" ma:contentTypeDescription="Create a new document." ma:contentTypeScope="" ma:versionID="d2d4d350509549916af18e1f79240f42">
  <xsd:schema xmlns:xsd="http://www.w3.org/2001/XMLSchema" xmlns:xs="http://www.w3.org/2001/XMLSchema" xmlns:p="http://schemas.microsoft.com/office/2006/metadata/properties" xmlns:ns2="81b73ca6-e4d8-4bd2-a64a-ea11d526b97a" xmlns:ns3="b7a789a4-5348-4864-9920-14d40a810ed9" targetNamespace="http://schemas.microsoft.com/office/2006/metadata/properties" ma:root="true" ma:fieldsID="fe0722f2879a01806cbabef052262329" ns2:_="" ns3:_="">
    <xsd:import namespace="81b73ca6-e4d8-4bd2-a64a-ea11d526b97a"/>
    <xsd:import namespace="b7a789a4-5348-4864-9920-14d40a810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73ca6-e4d8-4bd2-a64a-ea11d526b9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8b11a6f-6ef2-40be-887f-0577c7709f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789a4-5348-4864-9920-14d40a810e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95a988-1fd9-4cea-a371-61eb25098fa6}" ma:internalName="TaxCatchAll" ma:showField="CatchAllData" ma:web="b7a789a4-5348-4864-9920-14d40a810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3723D-26BB-4D32-A1A6-4B8565BFF4FF}">
  <ds:schemaRefs>
    <ds:schemaRef ds:uri="b7a789a4-5348-4864-9920-14d40a810ed9"/>
    <ds:schemaRef ds:uri="http://purl.org/dc/dcmitype/"/>
    <ds:schemaRef ds:uri="81b73ca6-e4d8-4bd2-a64a-ea11d526b97a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17F4BB1-5CC2-4D47-9920-5EDFDB1789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b73ca6-e4d8-4bd2-a64a-ea11d526b97a"/>
    <ds:schemaRef ds:uri="b7a789a4-5348-4864-9920-14d40a810e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7F9994-E9C3-4C86-8788-C9EB03762F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1 - SOUMISSION</vt:lpstr>
      <vt:lpstr>2 - Échafaudages</vt:lpstr>
      <vt:lpstr>3- Phénolique</vt:lpstr>
      <vt:lpstr>4 - Détails Metal</vt:lpstr>
      <vt:lpstr>'1 - SOUMISSION'!Zone_d_impression</vt:lpstr>
      <vt:lpstr>'4 - Détails Metal'!Zone_d_impression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Parent-Tremblay</dc:creator>
  <cp:keywords/>
  <dc:description/>
  <cp:lastModifiedBy>Nicolas Parent</cp:lastModifiedBy>
  <cp:revision/>
  <cp:lastPrinted>2025-05-28T12:31:31Z</cp:lastPrinted>
  <dcterms:created xsi:type="dcterms:W3CDTF">2022-03-02T18:40:36Z</dcterms:created>
  <dcterms:modified xsi:type="dcterms:W3CDTF">2025-11-21T14:15:08Z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1413400</vt:r8>
  </property>
  <property fmtid="{D5CDD505-2E9C-101B-9397-08002B2CF9AE}" pid="3" name="ContentTypeId">
    <vt:lpwstr>0x0101006D139522035C6647B252FE4D919EB600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